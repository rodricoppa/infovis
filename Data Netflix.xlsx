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2d70aaa168cb468f/Escritorio/TPs Data Science/"/>
    </mc:Choice>
  </mc:AlternateContent>
  <xr:revisionPtr revIDLastSave="0" documentId="8_{7DDB0EE8-DDBC-48C0-846D-83E3A6164DD5}" xr6:coauthVersionLast="47" xr6:coauthVersionMax="47" xr10:uidLastSave="{00000000-0000-0000-0000-000000000000}"/>
  <bookViews>
    <workbookView xWindow="-120" yWindow="-120" windowWidth="29040" windowHeight="15840" xr2:uid="{FDB507CB-5B15-48E0-95DE-0FF51220B794}"/>
  </bookViews>
  <sheets>
    <sheet name="Hoja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99" i="1" l="1"/>
  <c r="E100" i="1"/>
  <c r="E101" i="1"/>
  <c r="E102" i="1"/>
  <c r="E103" i="1"/>
  <c r="E104" i="1"/>
  <c r="E105" i="1"/>
  <c r="E106" i="1"/>
  <c r="E107" i="1"/>
  <c r="E108" i="1"/>
  <c r="E109" i="1"/>
  <c r="E110" i="1"/>
  <c r="E97" i="1"/>
  <c r="E98" i="1"/>
  <c r="D99" i="1"/>
  <c r="D100" i="1"/>
  <c r="D101" i="1"/>
  <c r="D102" i="1"/>
  <c r="D103" i="1"/>
  <c r="D104" i="1"/>
  <c r="D105" i="1"/>
  <c r="D106" i="1"/>
  <c r="D107" i="1"/>
  <c r="D108" i="1"/>
  <c r="D109" i="1"/>
  <c r="D97" i="1"/>
  <c r="D98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111" i="1"/>
  <c r="E112" i="1"/>
  <c r="E113" i="1"/>
  <c r="E114" i="1"/>
  <c r="E115" i="1"/>
  <c r="E116" i="1"/>
  <c r="E117" i="1"/>
  <c r="E118" i="1"/>
  <c r="E119" i="1"/>
  <c r="E120" i="1"/>
  <c r="E121" i="1"/>
  <c r="E122" i="1"/>
  <c r="E123" i="1"/>
  <c r="E124" i="1"/>
  <c r="E125" i="1"/>
  <c r="E126" i="1"/>
  <c r="E127" i="1"/>
  <c r="E128" i="1"/>
  <c r="E129" i="1"/>
  <c r="E130" i="1"/>
  <c r="E131" i="1"/>
  <c r="E132" i="1"/>
  <c r="E133" i="1"/>
  <c r="E134" i="1"/>
  <c r="E135" i="1"/>
  <c r="E136" i="1"/>
  <c r="E137" i="1"/>
  <c r="E138" i="1"/>
  <c r="E139" i="1"/>
  <c r="E140" i="1"/>
  <c r="E141" i="1"/>
  <c r="E142" i="1"/>
  <c r="E143" i="1"/>
  <c r="E144" i="1"/>
  <c r="E145" i="1"/>
  <c r="E146" i="1"/>
  <c r="E147" i="1"/>
  <c r="E148" i="1"/>
  <c r="E149" i="1"/>
  <c r="E150" i="1"/>
  <c r="E151" i="1"/>
  <c r="E152" i="1"/>
  <c r="E153" i="1"/>
  <c r="E154" i="1"/>
  <c r="E155" i="1"/>
  <c r="E156" i="1"/>
  <c r="E157" i="1"/>
  <c r="E158" i="1"/>
  <c r="E159" i="1"/>
  <c r="E160" i="1"/>
  <c r="E161" i="1"/>
  <c r="E162" i="1"/>
  <c r="E163" i="1"/>
  <c r="E164" i="1"/>
  <c r="E165" i="1"/>
  <c r="E166" i="1"/>
  <c r="E167" i="1"/>
  <c r="E168" i="1"/>
  <c r="E169" i="1"/>
  <c r="E170" i="1"/>
  <c r="E171" i="1"/>
  <c r="E172" i="1"/>
  <c r="E173" i="1"/>
  <c r="E174" i="1"/>
  <c r="E175" i="1"/>
  <c r="E176" i="1"/>
  <c r="E177" i="1"/>
  <c r="E178" i="1"/>
  <c r="E179" i="1"/>
  <c r="E180" i="1"/>
  <c r="E181" i="1"/>
  <c r="E182" i="1"/>
  <c r="E183" i="1"/>
  <c r="E184" i="1"/>
  <c r="E185" i="1"/>
  <c r="E186" i="1"/>
  <c r="E187" i="1"/>
  <c r="E188" i="1"/>
  <c r="E189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3" i="1"/>
  <c r="E4" i="1"/>
  <c r="E5" i="1"/>
  <c r="E6" i="1"/>
  <c r="E2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163" i="1"/>
  <c r="D164" i="1"/>
  <c r="D165" i="1"/>
  <c r="D166" i="1"/>
  <c r="D167" i="1"/>
  <c r="D168" i="1"/>
  <c r="D169" i="1"/>
  <c r="D170" i="1"/>
  <c r="D171" i="1"/>
  <c r="D172" i="1"/>
  <c r="D173" i="1"/>
  <c r="D174" i="1"/>
  <c r="D175" i="1"/>
  <c r="D176" i="1"/>
  <c r="D177" i="1"/>
  <c r="D178" i="1"/>
  <c r="D179" i="1"/>
  <c r="D180" i="1"/>
  <c r="D181" i="1"/>
  <c r="D182" i="1"/>
  <c r="D183" i="1"/>
  <c r="D184" i="1"/>
  <c r="D185" i="1"/>
  <c r="D186" i="1"/>
  <c r="D187" i="1"/>
  <c r="D188" i="1"/>
  <c r="D189" i="1"/>
  <c r="D3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" i="1"/>
</calcChain>
</file>

<file path=xl/sharedStrings.xml><?xml version="1.0" encoding="utf-8"?>
<sst xmlns="http://schemas.openxmlformats.org/spreadsheetml/2006/main" count="381" uniqueCount="195">
  <si>
    <t>Title</t>
  </si>
  <si>
    <t>Date</t>
  </si>
  <si>
    <t>Tipo de video</t>
  </si>
  <si>
    <t>Agatha Christie: Las Siete Esferas: A Bundle con amor</t>
  </si>
  <si>
    <t>Película</t>
  </si>
  <si>
    <t>Emergencia radiactiva: Tienen que confiar en alguien</t>
  </si>
  <si>
    <t>Serie</t>
  </si>
  <si>
    <t>Emergencia radiactiva: Siempre tenemos una opción</t>
  </si>
  <si>
    <t>Emergencia radiactiva: ¿Estamos bebiendo agua contaminada?</t>
  </si>
  <si>
    <t>Emergencia radiactiva: ¿Cuándo podremos volver a casa?</t>
  </si>
  <si>
    <t>Emergencia radiactiva: Un desastre como Brasil nunca ha visto</t>
  </si>
  <si>
    <t>Peaky Blinders: El hombre inmortal</t>
  </si>
  <si>
    <t>Los dinosaurios: La conquista</t>
  </si>
  <si>
    <t>Peaky Blinders: Temporada 1: Episodio 2</t>
  </si>
  <si>
    <t>La vida en nuestro planeta: Capítulo 2: La primera frontera</t>
  </si>
  <si>
    <t>Los dinosaurios: El ascenso</t>
  </si>
  <si>
    <t>Cortafuego</t>
  </si>
  <si>
    <t>En fuga: Miniserie: Por siempre la verdad brillante</t>
  </si>
  <si>
    <t>En fuga: Miniserie: Otra época</t>
  </si>
  <si>
    <t>En fuga: Miniserie: La última gota</t>
  </si>
  <si>
    <t>En fuga: Miniserie: Tatuajes mientras esperas</t>
  </si>
  <si>
    <t>En fuga: Miniserie: Ver para creer</t>
  </si>
  <si>
    <t>Stranger Things: Stranger Things 5: Capítulo ocho: Este Lado</t>
  </si>
  <si>
    <t>Stranger Things: Stranger Things 5: Capítulo siete: El puente</t>
  </si>
  <si>
    <t>Stranger Things: Stranger Things 5: Capítulo seis: La huida de Camazotz</t>
  </si>
  <si>
    <t>Stranger Things: Stranger Things 5: Capítulo cinco: Electrochoque</t>
  </si>
  <si>
    <t>Stranger Things: Stranger Things 5: Capítulo cuatro: Hechicero</t>
  </si>
  <si>
    <t>Stranger Things: Stranger Things 5: Capítulo tres: La trampa de Turnbow</t>
  </si>
  <si>
    <t>Stranger Things: Stranger Things 5: Capítulo Dos: La Desaparición de Holly Wheeler</t>
  </si>
  <si>
    <t>Stranger Things: Stranger Things 5: Capítulo uno: La misión</t>
  </si>
  <si>
    <t>En el barro: Temporada 1: Episodio 3</t>
  </si>
  <si>
    <t>En el barro: Temporada 1: Episodio 1</t>
  </si>
  <si>
    <t>Black Mirror: Temporada 7: Una pareja cualquiera</t>
  </si>
  <si>
    <t>Adolescencia: Miniserie: Episodio 4</t>
  </si>
  <si>
    <t>Adolescencia: Miniserie: Episodio 3</t>
  </si>
  <si>
    <t>Adolescencia: Miniserie: Episodio 1</t>
  </si>
  <si>
    <t>Adolescencia: Miniserie: Episodio 2</t>
  </si>
  <si>
    <t>Cobra Kai: Temporada 6: As recuperado</t>
  </si>
  <si>
    <t>Cobra Kai: Temporada 6: Golpear último</t>
  </si>
  <si>
    <t>Cobra Kai: Temporada 6: Fantasmas</t>
  </si>
  <si>
    <t>Cobra Kai: Temporada 6: Fuera de sí</t>
  </si>
  <si>
    <t>Cobra Kai: Temporada 6: Prueba de fuego</t>
  </si>
  <si>
    <t>El juego del calamar: Temporada 2: 001</t>
  </si>
  <si>
    <t>El juego del calamar: Temporada 2: Fiesta de Halloween</t>
  </si>
  <si>
    <t>El Slam de Netflix</t>
  </si>
  <si>
    <t>Supercool</t>
  </si>
  <si>
    <t>El juego del calamar: Temporada 2: Sustento y azar</t>
  </si>
  <si>
    <t>Cobra Kai: Temporada 1: As degenerado</t>
  </si>
  <si>
    <t>Cobra Kai: Temporada 6: Eunjangdo</t>
  </si>
  <si>
    <t>Cobra Kai: Temporada 6: Sangre por sangre</t>
  </si>
  <si>
    <t>Cobra Kai: Temporada 6: Sospechas en el aire</t>
  </si>
  <si>
    <t>Cobra Kai: Temporada 6: Pelear a cara de perro</t>
  </si>
  <si>
    <t>Cobra Kai: Temporada 6: Benvinguts a Barcelona</t>
  </si>
  <si>
    <t>Cobra Kai: Temporada 6: Lo mejor de lo mejor</t>
  </si>
  <si>
    <t>Cobra Kai: Temporada 6: Subestimados</t>
  </si>
  <si>
    <t>Cobra Kai: Temporada 6: Pijamada</t>
  </si>
  <si>
    <t>Cobra Kai: Temporada 6: El premio</t>
  </si>
  <si>
    <t>Equipaje de mano</t>
  </si>
  <si>
    <t>Cobra Kai: Temporada 6: Tiempos de paz</t>
  </si>
  <si>
    <t>Luz negra</t>
  </si>
  <si>
    <t>La Palma: Miniserie: Punto seguro</t>
  </si>
  <si>
    <t>La Palma: Miniserie: A Tenerife</t>
  </si>
  <si>
    <t>La Palma: Miniserie: Despegue</t>
  </si>
  <si>
    <t>La Palma: Miniserie: El pastorcito mentiroso</t>
  </si>
  <si>
    <t>No respires 2</t>
  </si>
  <si>
    <t>Asesinato para principiantes: Temporada 1: Episodio 6</t>
  </si>
  <si>
    <t>Asesinato para principiantes: Temporada 1: Episodio 5</t>
  </si>
  <si>
    <t>Asesinato para principiantes: Temporada 1: Episodio 4</t>
  </si>
  <si>
    <t>Asesinato para principiantes: Temporada 1: Episodio 3</t>
  </si>
  <si>
    <t>Asesinato para principiantes: Temporada 1: Episodio 2</t>
  </si>
  <si>
    <t>Asesinato para principiantes: Temporada 1: Episodio 1</t>
  </si>
  <si>
    <t>Una esposa de mentira</t>
  </si>
  <si>
    <t>Sin Hijos</t>
  </si>
  <si>
    <t>Mamá se fue de viaje</t>
  </si>
  <si>
    <t>Footloose</t>
  </si>
  <si>
    <t>Un detective suelto en Hollywood: Axel F.</t>
  </si>
  <si>
    <t>Eric: Miniserie: Episodio 1</t>
  </si>
  <si>
    <t>Bebé reno: Miniserie: Episodio 7</t>
  </si>
  <si>
    <t>Bebé reno: Miniserie: Episodio 6</t>
  </si>
  <si>
    <t>Bebé reno: Miniserie: Episodio 5</t>
  </si>
  <si>
    <t>Bebé reno: Miniserie: Episodio 4</t>
  </si>
  <si>
    <t>Bebé reno: Miniserie: Episodio 3</t>
  </si>
  <si>
    <t>Bebé reno: Miniserie: Episodio 2</t>
  </si>
  <si>
    <t>Todo un hombre: Miniserie: El día del juicio</t>
  </si>
  <si>
    <t>Nadie</t>
  </si>
  <si>
    <t>Todo un hombre: Miniserie: La hora de la verdad</t>
  </si>
  <si>
    <t>Todo un hombre: Miniserie: Tic, tac</t>
  </si>
  <si>
    <t>Bebé reno: Miniserie: Episodio 1</t>
  </si>
  <si>
    <t>Cuatro días más</t>
  </si>
  <si>
    <t>Todo un hombre: Miniserie: La ruina</t>
  </si>
  <si>
    <t>Todo un hombre: Miniserie: Una derrota aplastante</t>
  </si>
  <si>
    <t>Todo un hombre: Miniserie: Alforjas</t>
  </si>
  <si>
    <t>Descansar en paz</t>
  </si>
  <si>
    <t>Hotel Mumbai: El atentado</t>
  </si>
  <si>
    <t>Nimona</t>
  </si>
  <si>
    <t>Damsel</t>
  </si>
  <si>
    <t>Venganza implacable</t>
  </si>
  <si>
    <t>Alejandro Magno: La creación de un dios: El joven rey</t>
  </si>
  <si>
    <t>ARA San Juan: El submarino que desapareció: Miniserie: El silencio</t>
  </si>
  <si>
    <t>Fractura</t>
  </si>
  <si>
    <t>Avatar: La leyenda de Aang: Avatar: la leyenda de Aang: Libro 3: Sozin's Comet: Parte 4: Avatar Aang</t>
  </si>
  <si>
    <t>Avatar: La leyenda de Aang: Avatar: la leyenda de Aang: Libro 3: Sozin's Comet: Parte 3: Into the Inferno</t>
  </si>
  <si>
    <t>Avatar: La leyenda de Aang: Avatar: la leyenda de Aang: Libro 3: Los maestros del Fuego control</t>
  </si>
  <si>
    <t>Avatar: La leyenda de Aang: Avatar: la leyenda de Aang: Libro 2: La encrucijada del destino</t>
  </si>
  <si>
    <t>Avatar: La leyenda de Aang: Temporada 1: Leyendas</t>
  </si>
  <si>
    <t>Avatar: La leyenda de Aang: Temporada 1: El norte</t>
  </si>
  <si>
    <t>Avatar: La leyenda de Aang: Temporada 1: Máscaras</t>
  </si>
  <si>
    <t>Avatar: La leyenda de Aang: Temporada 1: El viaje al Mundo de los Espíritus</t>
  </si>
  <si>
    <t>Avatar: La leyenda de Aang: Temporada 1: En la oscuridad</t>
  </si>
  <si>
    <t>Avatar: La leyenda de Aang: Temporada 1: Omashu</t>
  </si>
  <si>
    <t>Lo que ignoramos</t>
  </si>
  <si>
    <t>Avatar: La leyenda de Aang: Temporada 1: Guerreros</t>
  </si>
  <si>
    <t>Avatar: La leyenda de Aang: Temporada 1: Aang</t>
  </si>
  <si>
    <t>El abismo de Kiruna</t>
  </si>
  <si>
    <t>Einstein y la bomba</t>
  </si>
  <si>
    <t>El turista: Temporada 1: Episodio 1</t>
  </si>
  <si>
    <t>Medicina letal: Miniserie: El inicio de la epidemia</t>
  </si>
  <si>
    <t>Casados con hijos: Temporada 1: Hogar Dulce Hogar</t>
  </si>
  <si>
    <t>Pesadilla de un secuestro en California: Tercera parte: Los otros</t>
  </si>
  <si>
    <t>Pesadilla de un secuestro en California: Segunda parte: Perdida</t>
  </si>
  <si>
    <t>Pesadilla de un secuestro en California: Primera parte: El novio</t>
  </si>
  <si>
    <t>Break Point: Temporada 2: Ser número 1</t>
  </si>
  <si>
    <t>Break Point: Temporada 2: Ahora o nunca</t>
  </si>
  <si>
    <t>Break Point: Temporada 2: Un asunto pendiente</t>
  </si>
  <si>
    <t>Break Point: Temporada 2: Amigos y adversarios</t>
  </si>
  <si>
    <t>Break Point: Temporada 2: El futuro es tuyo</t>
  </si>
  <si>
    <t>Break Point: Temporada 2: La maldición</t>
  </si>
  <si>
    <t>Ghislaine Maxwell: Asquerosamente rica</t>
  </si>
  <si>
    <t>Jeffrey Epstein: Asquerosamente rico: Miniserie: Voces escuchadas</t>
  </si>
  <si>
    <t>Jeffrey Epstein: Asquerosamente rico: Miniserie: La isla</t>
  </si>
  <si>
    <t>Jeffrey Epstein: Asquerosamente rico: Miniserie: Sigue la pista del dinero</t>
  </si>
  <si>
    <t>Jeffrey Epstein: Asquerosamente rico: Miniserie: Zonas de caza</t>
  </si>
  <si>
    <t>Engaños: Miniserie: Episodio 1</t>
  </si>
  <si>
    <t>La sociedad de la nieve</t>
  </si>
  <si>
    <t>The Walking Dead: Temporada 10: Los límites que cruzamos</t>
  </si>
  <si>
    <t>The Walking Dead: Temporada 9: La tormenta</t>
  </si>
  <si>
    <t>The Walking Dead: Temporada 10: Nosotros somos el fin del mundo</t>
  </si>
  <si>
    <t>The Walking Dead: Temporada 9: La calma previa</t>
  </si>
  <si>
    <t>The Walking Dead: Temporada 9: Cicatrices</t>
  </si>
  <si>
    <t>The Walking Dead: Temporada 9: Paso estrecho</t>
  </si>
  <si>
    <t>The Walking Dead: Temporada 9: Guardianes</t>
  </si>
  <si>
    <t>Resident Evil: Bienvenidos a Nueva Raccoon City</t>
  </si>
  <si>
    <t>The Walking Dead: Temporada 9: Recompensa</t>
  </si>
  <si>
    <t>The Walking Dead: Temporada 9: Omega</t>
  </si>
  <si>
    <t>The Walking Dead: Temporada 9: Adaptación</t>
  </si>
  <si>
    <t>The Walking Dead: Temporada 9: Evolución</t>
  </si>
  <si>
    <t>The Walking Dead: Temporada 9: Stradivarius</t>
  </si>
  <si>
    <t>The Walking Dead: Temporada 9: ¿Quiénes somos ahora?</t>
  </si>
  <si>
    <t>The Walking Dead: Temporada 9: ¿Qué viene después?</t>
  </si>
  <si>
    <t>The Walking Dead: Temporada 9: El obligado</t>
  </si>
  <si>
    <t>The Walking Dead: Temporada 9: Señales de alerta</t>
  </si>
  <si>
    <t>The Walking Dead: Temporada 9: El puente</t>
  </si>
  <si>
    <t>The Walking Dead: Temporada 9: Un nuevo comienzo</t>
  </si>
  <si>
    <t>The Walking Dead: Temporada 3: El rey suicida</t>
  </si>
  <si>
    <t>The Walking Dead: Temporada 3: Creados para sufrir</t>
  </si>
  <si>
    <t>The Walking Dead: Temporada 3: Cuando los muertos vienen tocando</t>
  </si>
  <si>
    <t>The Walking Dead: Temporada 3: Perseguido</t>
  </si>
  <si>
    <t>The Walking Dead: Temporada 3: Da la orden</t>
  </si>
  <si>
    <t>The Walking Dead: Temporada 3: Asesino interior</t>
  </si>
  <si>
    <t>The Walking Dead: Temporada 3: Camina conmigo</t>
  </si>
  <si>
    <t>The Walking Dead: Temporada 3: Enfermo</t>
  </si>
  <si>
    <t>The Walking Dead: Temporada 3: Semilla</t>
  </si>
  <si>
    <t>The Walking Dead: Temporada 2: Junto al fuego que se extingue</t>
  </si>
  <si>
    <t>The Walking Dead: Temporada 2: Los mejores ángeles</t>
  </si>
  <si>
    <t>The Walking Dead: Temporada 2: Juez, jurado y verdugo</t>
  </si>
  <si>
    <t>The Walking Dead: Temporada 2: A 30 kilómetros</t>
  </si>
  <si>
    <t>The Walking Dead: Temporada 2: Dedo en gatillo</t>
  </si>
  <si>
    <t>The Walking Dead: Temporada 2: Nebraska</t>
  </si>
  <si>
    <t>The Walking Dead: Temporada 2: Prácticamente muertos</t>
  </si>
  <si>
    <t>The Walking Dead: Temporada 2: Secretos</t>
  </si>
  <si>
    <t>The Walking Dead: Temporada 2: El chupacabras</t>
  </si>
  <si>
    <t>The Walking Dead: Temporada 2: La rosa cheroqui</t>
  </si>
  <si>
    <t>The Walking Dead: Temporada 2: Guarda la última</t>
  </si>
  <si>
    <t>The Walking Dead: Temporada 2: Sangría</t>
  </si>
  <si>
    <t>The Walking Dead: Temporada 2: Lo que nos espera</t>
  </si>
  <si>
    <t>The Walking Dead: Temporada 1: TS-19</t>
  </si>
  <si>
    <t>The Walking Dead: Temporada 1: Código Wildfire</t>
  </si>
  <si>
    <t>The Walking Dead: Temporada 1: Muchachos</t>
  </si>
  <si>
    <t>The Walking Dead: Temporada 1: Díselo a las ranas</t>
  </si>
  <si>
    <t>The Walking Dead: Temporada 1: Agallas</t>
  </si>
  <si>
    <t>The Walking Dead: Temporada 1: Los viejos tiempos</t>
  </si>
  <si>
    <t>Año uno</t>
  </si>
  <si>
    <t>Los trabajadores del ferrocarril: La historia no contada de Bhopal 1984: Miniserie: Episodio 4</t>
  </si>
  <si>
    <t>Los trabajadores del ferrocarril: La historia no contada de Bhopal 1984: Miniserie: Episodio 3</t>
  </si>
  <si>
    <t>Legion: Legion: Season 1_hook_primary_16x9</t>
  </si>
  <si>
    <t>Los trabajadores del ferrocarril: La historia no contada de Bhopal 1984: Miniserie: Episodio 2</t>
  </si>
  <si>
    <t>Los trabajadores del ferrocarril: La historia no contada de Bhopal 1984: Miniserie: Episodio 1</t>
  </si>
  <si>
    <t>The Walking Dead: Temporada 8: Ira</t>
  </si>
  <si>
    <t>The Walking Dead: Temporada 7: Llegará el día en el que no lo estés</t>
  </si>
  <si>
    <t>The Walking Dead: Temporada 6: Último día en la Tierra</t>
  </si>
  <si>
    <t>BoJack Horseman: Temporada 3: Como pez fuera del agua</t>
  </si>
  <si>
    <t>Cómo se convirtieron en capos de la mafia: Con el empleo soñado</t>
  </si>
  <si>
    <t>Peaky Blinders: Temporada 1: Episodio 1</t>
  </si>
  <si>
    <t>Nombre de la Serie</t>
  </si>
  <si>
    <t>Nombre del capítulo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</si>
</sst>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NumberFormat="1" applyFont="1" applyFill="1" applyBorder="1" applyAlignment="1" applyProtection="1"/>
    <xf numFmtId="15" fontId="1" fillId="0" borderId="0" xfId="0" applyNumberFormat="1" applyFont="1" applyFill="1" applyBorder="1" applyAlignment="1" applyProtecti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9C602E-14DD-4863-97C7-79D1B6992413}">
  <dimension ref="A1:E189"/>
  <sheetViews>
    <sheetView tabSelected="1" workbookViewId="0">
      <selection activeCell="E13" sqref="E13"/>
    </sheetView>
  </sheetViews>
  <sheetFormatPr baseColWidth="10" defaultRowHeight="15" x14ac:dyDescent="0.25"/>
  <cols>
    <col min="1" max="1" width="78.5703125" customWidth="1"/>
    <col min="2" max="2" width="20" customWidth="1"/>
    <col min="3" max="3" width="22.42578125" customWidth="1"/>
    <col min="4" max="4" width="49.85546875" customWidth="1"/>
    <col min="5" max="5" width="68.28515625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193</v>
      </c>
      <c r="E1" s="1" t="s">
        <v>194</v>
      </c>
    </row>
    <row r="2" spans="1:5" x14ac:dyDescent="0.25">
      <c r="A2" s="1" t="s">
        <v>3</v>
      </c>
      <c r="B2" s="2">
        <v>46127</v>
      </c>
      <c r="C2" s="1" t="s">
        <v>4</v>
      </c>
      <c r="D2" t="str">
        <f>IF(C2="Serie", IFERROR(LEFT(A2, SEARCH(":", A2) - 1), A2), "")</f>
        <v/>
      </c>
      <c r="E2" t="str">
        <f>IF(C2="Serie", IFERROR(MID(A2, SEARCH(":", A2) + 2, LEN(A2)), A2), "")</f>
        <v/>
      </c>
    </row>
    <row r="3" spans="1:5" x14ac:dyDescent="0.25">
      <c r="A3" s="1" t="s">
        <v>5</v>
      </c>
      <c r="B3" s="2">
        <v>46127</v>
      </c>
      <c r="C3" s="1" t="s">
        <v>6</v>
      </c>
      <c r="D3" t="str">
        <f t="shared" ref="D3:D66" si="0">IF(C3="Serie", IFERROR(LEFT(A3, SEARCH(":", A3) - 1), A3), "")</f>
        <v>Emergencia radiactiva</v>
      </c>
      <c r="E3" t="str">
        <f t="shared" ref="E3:E66" si="1">IF(C3="Serie", IFERROR(MID(A3, SEARCH(":", A3) + 2, LEN(A3)), A3), "")</f>
        <v>Tienen que confiar en alguien</v>
      </c>
    </row>
    <row r="4" spans="1:5" x14ac:dyDescent="0.25">
      <c r="A4" s="1" t="s">
        <v>7</v>
      </c>
      <c r="B4" s="2">
        <v>46127</v>
      </c>
      <c r="C4" s="1" t="s">
        <v>6</v>
      </c>
      <c r="D4" t="str">
        <f t="shared" si="0"/>
        <v>Emergencia radiactiva</v>
      </c>
      <c r="E4" t="str">
        <f t="shared" si="1"/>
        <v>Siempre tenemos una opción</v>
      </c>
    </row>
    <row r="5" spans="1:5" x14ac:dyDescent="0.25">
      <c r="A5" s="1" t="s">
        <v>8</v>
      </c>
      <c r="B5" s="2">
        <v>46123</v>
      </c>
      <c r="C5" s="1" t="s">
        <v>6</v>
      </c>
      <c r="D5" t="str">
        <f t="shared" si="0"/>
        <v>Emergencia radiactiva</v>
      </c>
      <c r="E5" t="str">
        <f t="shared" si="1"/>
        <v>¿Estamos bebiendo agua contaminada?</v>
      </c>
    </row>
    <row r="6" spans="1:5" x14ac:dyDescent="0.25">
      <c r="A6" s="1" t="s">
        <v>9</v>
      </c>
      <c r="B6" s="2">
        <v>46123</v>
      </c>
      <c r="C6" s="1" t="s">
        <v>6</v>
      </c>
      <c r="D6" t="str">
        <f t="shared" si="0"/>
        <v>Emergencia radiactiva</v>
      </c>
      <c r="E6" t="str">
        <f t="shared" si="1"/>
        <v>¿Cuándo podremos volver a casa?</v>
      </c>
    </row>
    <row r="7" spans="1:5" x14ac:dyDescent="0.25">
      <c r="A7" s="1" t="s">
        <v>10</v>
      </c>
      <c r="B7" s="2">
        <v>46122</v>
      </c>
      <c r="C7" s="1" t="s">
        <v>6</v>
      </c>
      <c r="D7" t="str">
        <f t="shared" si="0"/>
        <v>Emergencia radiactiva</v>
      </c>
      <c r="E7" t="str">
        <f t="shared" si="1"/>
        <v>Un desastre como Brasil nunca ha visto</v>
      </c>
    </row>
    <row r="8" spans="1:5" x14ac:dyDescent="0.25">
      <c r="A8" s="1" t="s">
        <v>11</v>
      </c>
      <c r="B8" s="2">
        <v>46102</v>
      </c>
      <c r="C8" s="1" t="s">
        <v>4</v>
      </c>
      <c r="D8" t="str">
        <f t="shared" si="0"/>
        <v/>
      </c>
      <c r="E8" t="str">
        <f t="shared" si="1"/>
        <v/>
      </c>
    </row>
    <row r="9" spans="1:5" x14ac:dyDescent="0.25">
      <c r="A9" s="1" t="s">
        <v>12</v>
      </c>
      <c r="B9" s="2">
        <v>46092</v>
      </c>
      <c r="C9" s="1" t="s">
        <v>4</v>
      </c>
      <c r="D9" t="str">
        <f t="shared" si="0"/>
        <v/>
      </c>
      <c r="E9" t="str">
        <f t="shared" si="1"/>
        <v/>
      </c>
    </row>
    <row r="10" spans="1:5" x14ac:dyDescent="0.25">
      <c r="A10" s="1" t="s">
        <v>13</v>
      </c>
      <c r="B10" s="2">
        <v>46092</v>
      </c>
      <c r="C10" s="1" t="s">
        <v>6</v>
      </c>
      <c r="D10" t="str">
        <f t="shared" si="0"/>
        <v>Peaky Blinders</v>
      </c>
      <c r="E10" t="str">
        <f t="shared" si="1"/>
        <v>Temporada 1: Episodio 2</v>
      </c>
    </row>
    <row r="11" spans="1:5" x14ac:dyDescent="0.25">
      <c r="A11" s="1" t="s">
        <v>14</v>
      </c>
      <c r="B11" s="2">
        <v>46091</v>
      </c>
      <c r="C11" s="1" t="s">
        <v>6</v>
      </c>
      <c r="D11" t="str">
        <f t="shared" si="0"/>
        <v>La vida en nuestro planeta</v>
      </c>
      <c r="E11" t="str">
        <f t="shared" si="1"/>
        <v>Capítulo 2: La primera frontera</v>
      </c>
    </row>
    <row r="12" spans="1:5" x14ac:dyDescent="0.25">
      <c r="A12" s="1" t="s">
        <v>15</v>
      </c>
      <c r="B12" s="2">
        <v>46090</v>
      </c>
      <c r="C12" s="1" t="s">
        <v>4</v>
      </c>
      <c r="D12" t="str">
        <f t="shared" si="0"/>
        <v/>
      </c>
      <c r="E12" t="str">
        <f t="shared" si="1"/>
        <v/>
      </c>
    </row>
    <row r="13" spans="1:5" x14ac:dyDescent="0.25">
      <c r="A13" s="1" t="s">
        <v>16</v>
      </c>
      <c r="B13" s="2">
        <v>46089</v>
      </c>
      <c r="C13" s="1" t="s">
        <v>4</v>
      </c>
      <c r="D13" t="str">
        <f t="shared" si="0"/>
        <v/>
      </c>
      <c r="E13" t="str">
        <f t="shared" si="1"/>
        <v/>
      </c>
    </row>
    <row r="14" spans="1:5" x14ac:dyDescent="0.25">
      <c r="A14" s="1" t="s">
        <v>17</v>
      </c>
      <c r="B14" s="2">
        <v>46042</v>
      </c>
      <c r="C14" s="1" t="s">
        <v>6</v>
      </c>
      <c r="D14" t="str">
        <f t="shared" si="0"/>
        <v>En fuga</v>
      </c>
      <c r="E14" t="str">
        <f t="shared" si="1"/>
        <v>Miniserie: Por siempre la verdad brillante</v>
      </c>
    </row>
    <row r="15" spans="1:5" x14ac:dyDescent="0.25">
      <c r="A15" s="1" t="s">
        <v>18</v>
      </c>
      <c r="B15" s="2">
        <v>46041</v>
      </c>
      <c r="C15" s="1" t="s">
        <v>6</v>
      </c>
      <c r="D15" t="str">
        <f t="shared" si="0"/>
        <v>En fuga</v>
      </c>
      <c r="E15" t="str">
        <f t="shared" si="1"/>
        <v>Miniserie: Otra época</v>
      </c>
    </row>
    <row r="16" spans="1:5" x14ac:dyDescent="0.25">
      <c r="A16" s="1" t="s">
        <v>19</v>
      </c>
      <c r="B16" s="2">
        <v>46041</v>
      </c>
      <c r="C16" s="1" t="s">
        <v>6</v>
      </c>
      <c r="D16" t="str">
        <f t="shared" si="0"/>
        <v>En fuga</v>
      </c>
      <c r="E16" t="str">
        <f t="shared" si="1"/>
        <v>Miniserie: La última gota</v>
      </c>
    </row>
    <row r="17" spans="1:5" x14ac:dyDescent="0.25">
      <c r="A17" s="1" t="s">
        <v>20</v>
      </c>
      <c r="B17" s="2">
        <v>46040</v>
      </c>
      <c r="C17" s="1" t="s">
        <v>6</v>
      </c>
      <c r="D17" t="str">
        <f t="shared" si="0"/>
        <v>En fuga</v>
      </c>
      <c r="E17" t="str">
        <f t="shared" si="1"/>
        <v>Miniserie: Tatuajes mientras esperas</v>
      </c>
    </row>
    <row r="18" spans="1:5" x14ac:dyDescent="0.25">
      <c r="A18" s="1" t="s">
        <v>21</v>
      </c>
      <c r="B18" s="2">
        <v>46040</v>
      </c>
      <c r="C18" s="1" t="s">
        <v>6</v>
      </c>
      <c r="D18" t="str">
        <f t="shared" si="0"/>
        <v>En fuga</v>
      </c>
      <c r="E18" t="str">
        <f t="shared" si="1"/>
        <v>Miniserie: Ver para creer</v>
      </c>
    </row>
    <row r="19" spans="1:5" x14ac:dyDescent="0.25">
      <c r="A19" s="1" t="s">
        <v>22</v>
      </c>
      <c r="B19" s="2">
        <v>46023</v>
      </c>
      <c r="C19" s="1" t="s">
        <v>6</v>
      </c>
      <c r="D19" t="str">
        <f t="shared" si="0"/>
        <v>Stranger Things</v>
      </c>
      <c r="E19" t="str">
        <f t="shared" si="1"/>
        <v>Stranger Things 5: Capítulo ocho: Este Lado</v>
      </c>
    </row>
    <row r="20" spans="1:5" x14ac:dyDescent="0.25">
      <c r="A20" s="1" t="s">
        <v>23</v>
      </c>
      <c r="B20" s="2">
        <v>46020</v>
      </c>
      <c r="C20" s="1" t="s">
        <v>6</v>
      </c>
      <c r="D20" t="str">
        <f t="shared" si="0"/>
        <v>Stranger Things</v>
      </c>
      <c r="E20" t="str">
        <f t="shared" si="1"/>
        <v>Stranger Things 5: Capítulo siete: El puente</v>
      </c>
    </row>
    <row r="21" spans="1:5" x14ac:dyDescent="0.25">
      <c r="A21" s="1" t="s">
        <v>24</v>
      </c>
      <c r="B21" s="2">
        <v>46020</v>
      </c>
      <c r="C21" s="1" t="s">
        <v>6</v>
      </c>
      <c r="D21" t="str">
        <f t="shared" si="0"/>
        <v>Stranger Things</v>
      </c>
      <c r="E21" t="str">
        <f t="shared" si="1"/>
        <v>Stranger Things 5: Capítulo seis: La huida de Camazotz</v>
      </c>
    </row>
    <row r="22" spans="1:5" x14ac:dyDescent="0.25">
      <c r="A22" s="1" t="s">
        <v>25</v>
      </c>
      <c r="B22" s="2">
        <v>46019</v>
      </c>
      <c r="C22" s="1" t="s">
        <v>6</v>
      </c>
      <c r="D22" t="str">
        <f t="shared" si="0"/>
        <v>Stranger Things</v>
      </c>
      <c r="E22" t="str">
        <f t="shared" si="1"/>
        <v>Stranger Things 5: Capítulo cinco: Electrochoque</v>
      </c>
    </row>
    <row r="23" spans="1:5" x14ac:dyDescent="0.25">
      <c r="A23" s="1" t="s">
        <v>26</v>
      </c>
      <c r="B23" s="2">
        <v>45998</v>
      </c>
      <c r="C23" s="1" t="s">
        <v>6</v>
      </c>
      <c r="D23" t="str">
        <f t="shared" si="0"/>
        <v>Stranger Things</v>
      </c>
      <c r="E23" t="str">
        <f t="shared" si="1"/>
        <v>Stranger Things 5: Capítulo cuatro: Hechicero</v>
      </c>
    </row>
    <row r="24" spans="1:5" x14ac:dyDescent="0.25">
      <c r="A24" s="1" t="s">
        <v>27</v>
      </c>
      <c r="B24" s="2">
        <v>45993</v>
      </c>
      <c r="C24" s="1" t="s">
        <v>6</v>
      </c>
      <c r="D24" t="str">
        <f t="shared" si="0"/>
        <v>Stranger Things</v>
      </c>
      <c r="E24" t="str">
        <f t="shared" si="1"/>
        <v>Stranger Things 5: Capítulo tres: La trampa de Turnbow</v>
      </c>
    </row>
    <row r="25" spans="1:5" x14ac:dyDescent="0.25">
      <c r="A25" s="1" t="s">
        <v>28</v>
      </c>
      <c r="B25" s="2">
        <v>45992</v>
      </c>
      <c r="C25" s="1" t="s">
        <v>6</v>
      </c>
      <c r="D25" t="str">
        <f t="shared" si="0"/>
        <v>Stranger Things</v>
      </c>
      <c r="E25" t="str">
        <f t="shared" si="1"/>
        <v>Stranger Things 5: Capítulo Dos: La Desaparición de Holly Wheeler</v>
      </c>
    </row>
    <row r="26" spans="1:5" x14ac:dyDescent="0.25">
      <c r="A26" s="1" t="s">
        <v>29</v>
      </c>
      <c r="B26" s="2">
        <v>45992</v>
      </c>
      <c r="C26" s="1" t="s">
        <v>6</v>
      </c>
      <c r="D26" t="str">
        <f t="shared" si="0"/>
        <v>Stranger Things</v>
      </c>
      <c r="E26" t="str">
        <f t="shared" si="1"/>
        <v>Stranger Things 5: Capítulo uno: La misión</v>
      </c>
    </row>
    <row r="27" spans="1:5" x14ac:dyDescent="0.25">
      <c r="A27" s="1" t="s">
        <v>30</v>
      </c>
      <c r="B27" s="2">
        <v>45886</v>
      </c>
      <c r="C27" s="1" t="s">
        <v>6</v>
      </c>
      <c r="D27" t="str">
        <f t="shared" si="0"/>
        <v>En el barro</v>
      </c>
      <c r="E27" t="str">
        <f t="shared" si="1"/>
        <v>Temporada 1: Episodio 3</v>
      </c>
    </row>
    <row r="28" spans="1:5" x14ac:dyDescent="0.25">
      <c r="A28" s="1" t="s">
        <v>31</v>
      </c>
      <c r="B28" s="2">
        <v>45886</v>
      </c>
      <c r="C28" s="1" t="s">
        <v>6</v>
      </c>
      <c r="D28" t="str">
        <f t="shared" si="0"/>
        <v>En el barro</v>
      </c>
      <c r="E28" t="str">
        <f t="shared" si="1"/>
        <v>Temporada 1: Episodio 1</v>
      </c>
    </row>
    <row r="29" spans="1:5" x14ac:dyDescent="0.25">
      <c r="A29" s="1" t="s">
        <v>32</v>
      </c>
      <c r="B29" s="2">
        <v>45764</v>
      </c>
      <c r="C29" s="1" t="s">
        <v>6</v>
      </c>
      <c r="D29" t="str">
        <f t="shared" si="0"/>
        <v>Black Mirror</v>
      </c>
      <c r="E29" t="str">
        <f t="shared" si="1"/>
        <v>Temporada 7: Una pareja cualquiera</v>
      </c>
    </row>
    <row r="30" spans="1:5" x14ac:dyDescent="0.25">
      <c r="A30" s="1" t="s">
        <v>33</v>
      </c>
      <c r="B30" s="2">
        <v>45764</v>
      </c>
      <c r="C30" s="1" t="s">
        <v>6</v>
      </c>
      <c r="D30" t="str">
        <f t="shared" si="0"/>
        <v>Adolescencia</v>
      </c>
      <c r="E30" t="str">
        <f t="shared" si="1"/>
        <v>Miniserie: Episodio 4</v>
      </c>
    </row>
    <row r="31" spans="1:5" x14ac:dyDescent="0.25">
      <c r="A31" s="1" t="s">
        <v>34</v>
      </c>
      <c r="B31" s="2">
        <v>45763</v>
      </c>
      <c r="C31" s="1" t="s">
        <v>6</v>
      </c>
      <c r="D31" t="str">
        <f t="shared" si="0"/>
        <v>Adolescencia</v>
      </c>
      <c r="E31" t="str">
        <f t="shared" si="1"/>
        <v>Miniserie: Episodio 3</v>
      </c>
    </row>
    <row r="32" spans="1:5" x14ac:dyDescent="0.25">
      <c r="A32" s="1" t="s">
        <v>35</v>
      </c>
      <c r="B32" s="2">
        <v>45754</v>
      </c>
      <c r="C32" s="1" t="s">
        <v>6</v>
      </c>
      <c r="D32" t="str">
        <f t="shared" si="0"/>
        <v>Adolescencia</v>
      </c>
      <c r="E32" t="str">
        <f t="shared" si="1"/>
        <v>Miniserie: Episodio 1</v>
      </c>
    </row>
    <row r="33" spans="1:5" x14ac:dyDescent="0.25">
      <c r="A33" s="1" t="s">
        <v>36</v>
      </c>
      <c r="B33" s="2">
        <v>45752</v>
      </c>
      <c r="C33" s="1" t="s">
        <v>6</v>
      </c>
      <c r="D33" t="str">
        <f t="shared" si="0"/>
        <v>Adolescencia</v>
      </c>
      <c r="E33" t="str">
        <f t="shared" si="1"/>
        <v>Miniserie: Episodio 2</v>
      </c>
    </row>
    <row r="34" spans="1:5" x14ac:dyDescent="0.25">
      <c r="A34" s="1" t="s">
        <v>37</v>
      </c>
      <c r="B34" s="2">
        <v>45723</v>
      </c>
      <c r="C34" s="1" t="s">
        <v>6</v>
      </c>
      <c r="D34" t="str">
        <f t="shared" si="0"/>
        <v>Cobra Kai</v>
      </c>
      <c r="E34" t="str">
        <f t="shared" si="1"/>
        <v>Temporada 6: As recuperado</v>
      </c>
    </row>
    <row r="35" spans="1:5" x14ac:dyDescent="0.25">
      <c r="A35" s="1" t="s">
        <v>38</v>
      </c>
      <c r="B35" s="2">
        <v>45712</v>
      </c>
      <c r="C35" s="1" t="s">
        <v>6</v>
      </c>
      <c r="D35" t="str">
        <f t="shared" si="0"/>
        <v>Cobra Kai</v>
      </c>
      <c r="E35" t="str">
        <f t="shared" si="1"/>
        <v>Temporada 6: Golpear último</v>
      </c>
    </row>
    <row r="36" spans="1:5" x14ac:dyDescent="0.25">
      <c r="A36" s="1" t="s">
        <v>39</v>
      </c>
      <c r="B36" s="2">
        <v>45710</v>
      </c>
      <c r="C36" s="1" t="s">
        <v>6</v>
      </c>
      <c r="D36" t="str">
        <f t="shared" si="0"/>
        <v>Cobra Kai</v>
      </c>
      <c r="E36" t="str">
        <f t="shared" si="1"/>
        <v>Temporada 6: Fantasmas</v>
      </c>
    </row>
    <row r="37" spans="1:5" x14ac:dyDescent="0.25">
      <c r="A37" s="1" t="s">
        <v>40</v>
      </c>
      <c r="B37" s="2">
        <v>45710</v>
      </c>
      <c r="C37" s="1" t="s">
        <v>6</v>
      </c>
      <c r="D37" t="str">
        <f t="shared" si="0"/>
        <v>Cobra Kai</v>
      </c>
      <c r="E37" t="str">
        <f t="shared" si="1"/>
        <v>Temporada 6: Fuera de sí</v>
      </c>
    </row>
    <row r="38" spans="1:5" x14ac:dyDescent="0.25">
      <c r="A38" s="1" t="s">
        <v>41</v>
      </c>
      <c r="B38" s="2">
        <v>45703</v>
      </c>
      <c r="C38" s="1" t="s">
        <v>6</v>
      </c>
      <c r="D38" t="str">
        <f t="shared" si="0"/>
        <v>Cobra Kai</v>
      </c>
      <c r="E38" t="str">
        <f t="shared" si="1"/>
        <v>Temporada 6: Prueba de fuego</v>
      </c>
    </row>
    <row r="39" spans="1:5" x14ac:dyDescent="0.25">
      <c r="A39" s="1" t="s">
        <v>42</v>
      </c>
      <c r="B39" s="2">
        <v>45676</v>
      </c>
      <c r="C39" s="1" t="s">
        <v>6</v>
      </c>
      <c r="D39" t="str">
        <f t="shared" si="0"/>
        <v>El juego del calamar</v>
      </c>
      <c r="E39" t="str">
        <f t="shared" si="1"/>
        <v>Temporada 2: 001</v>
      </c>
    </row>
    <row r="40" spans="1:5" x14ac:dyDescent="0.25">
      <c r="A40" s="1" t="s">
        <v>43</v>
      </c>
      <c r="B40" s="2">
        <v>45676</v>
      </c>
      <c r="C40" s="1" t="s">
        <v>6</v>
      </c>
      <c r="D40" t="str">
        <f t="shared" si="0"/>
        <v>El juego del calamar</v>
      </c>
      <c r="E40" t="str">
        <f t="shared" si="1"/>
        <v>Temporada 2: Fiesta de Halloween</v>
      </c>
    </row>
    <row r="41" spans="1:5" x14ac:dyDescent="0.25">
      <c r="A41" s="1" t="s">
        <v>44</v>
      </c>
      <c r="B41" s="2">
        <v>45676</v>
      </c>
      <c r="C41" s="1" t="s">
        <v>4</v>
      </c>
      <c r="D41" t="str">
        <f t="shared" si="0"/>
        <v/>
      </c>
      <c r="E41" t="str">
        <f t="shared" si="1"/>
        <v/>
      </c>
    </row>
    <row r="42" spans="1:5" x14ac:dyDescent="0.25">
      <c r="A42" s="1" t="s">
        <v>45</v>
      </c>
      <c r="B42" s="2">
        <v>45675</v>
      </c>
      <c r="C42" s="1" t="s">
        <v>4</v>
      </c>
      <c r="D42" t="str">
        <f t="shared" si="0"/>
        <v/>
      </c>
      <c r="E42" t="str">
        <f t="shared" si="1"/>
        <v/>
      </c>
    </row>
    <row r="43" spans="1:5" x14ac:dyDescent="0.25">
      <c r="A43" s="1" t="s">
        <v>46</v>
      </c>
      <c r="B43" s="2">
        <v>45670</v>
      </c>
      <c r="C43" s="1" t="s">
        <v>6</v>
      </c>
      <c r="D43" t="str">
        <f t="shared" si="0"/>
        <v>El juego del calamar</v>
      </c>
      <c r="E43" t="str">
        <f t="shared" si="1"/>
        <v>Temporada 2: Sustento y azar</v>
      </c>
    </row>
    <row r="44" spans="1:5" x14ac:dyDescent="0.25">
      <c r="A44" s="1" t="s">
        <v>47</v>
      </c>
      <c r="B44" s="2">
        <v>45662</v>
      </c>
      <c r="C44" s="1" t="s">
        <v>6</v>
      </c>
      <c r="D44" t="str">
        <f t="shared" si="0"/>
        <v>Cobra Kai</v>
      </c>
      <c r="E44" t="str">
        <f t="shared" si="1"/>
        <v>Temporada 1: As degenerado</v>
      </c>
    </row>
    <row r="45" spans="1:5" x14ac:dyDescent="0.25">
      <c r="A45" s="1" t="s">
        <v>48</v>
      </c>
      <c r="B45" s="2">
        <v>45662</v>
      </c>
      <c r="C45" s="1" t="s">
        <v>6</v>
      </c>
      <c r="D45" t="str">
        <f t="shared" si="0"/>
        <v>Cobra Kai</v>
      </c>
      <c r="E45" t="str">
        <f t="shared" si="1"/>
        <v>Temporada 6: Eunjangdo</v>
      </c>
    </row>
    <row r="46" spans="1:5" x14ac:dyDescent="0.25">
      <c r="A46" s="1" t="s">
        <v>49</v>
      </c>
      <c r="B46" s="2">
        <v>45658</v>
      </c>
      <c r="C46" s="1" t="s">
        <v>6</v>
      </c>
      <c r="D46" t="str">
        <f t="shared" si="0"/>
        <v>Cobra Kai</v>
      </c>
      <c r="E46" t="str">
        <f t="shared" si="1"/>
        <v>Temporada 6: Sangre por sangre</v>
      </c>
    </row>
    <row r="47" spans="1:5" x14ac:dyDescent="0.25">
      <c r="A47" s="1" t="s">
        <v>50</v>
      </c>
      <c r="B47" s="2">
        <v>45658</v>
      </c>
      <c r="C47" s="1" t="s">
        <v>6</v>
      </c>
      <c r="D47" t="str">
        <f t="shared" si="0"/>
        <v>Cobra Kai</v>
      </c>
      <c r="E47" t="str">
        <f t="shared" si="1"/>
        <v>Temporada 6: Sospechas en el aire</v>
      </c>
    </row>
    <row r="48" spans="1:5" x14ac:dyDescent="0.25">
      <c r="A48" s="1" t="s">
        <v>51</v>
      </c>
      <c r="B48" s="2">
        <v>45658</v>
      </c>
      <c r="C48" s="1" t="s">
        <v>6</v>
      </c>
      <c r="D48" t="str">
        <f t="shared" si="0"/>
        <v>Cobra Kai</v>
      </c>
      <c r="E48" t="str">
        <f t="shared" si="1"/>
        <v>Temporada 6: Pelear a cara de perro</v>
      </c>
    </row>
    <row r="49" spans="1:5" x14ac:dyDescent="0.25">
      <c r="A49" s="1" t="s">
        <v>52</v>
      </c>
      <c r="B49" s="2">
        <v>45656</v>
      </c>
      <c r="C49" s="1" t="s">
        <v>6</v>
      </c>
      <c r="D49" t="str">
        <f t="shared" si="0"/>
        <v>Cobra Kai</v>
      </c>
      <c r="E49" t="str">
        <f t="shared" si="1"/>
        <v>Temporada 6: Benvinguts a Barcelona</v>
      </c>
    </row>
    <row r="50" spans="1:5" x14ac:dyDescent="0.25">
      <c r="A50" s="1" t="s">
        <v>53</v>
      </c>
      <c r="B50" s="2">
        <v>45655</v>
      </c>
      <c r="C50" s="1" t="s">
        <v>6</v>
      </c>
      <c r="D50" t="str">
        <f t="shared" si="0"/>
        <v>Cobra Kai</v>
      </c>
      <c r="E50" t="str">
        <f t="shared" si="1"/>
        <v>Temporada 6: Lo mejor de lo mejor</v>
      </c>
    </row>
    <row r="51" spans="1:5" x14ac:dyDescent="0.25">
      <c r="A51" s="1" t="s">
        <v>54</v>
      </c>
      <c r="B51" s="2">
        <v>45655</v>
      </c>
      <c r="C51" s="1" t="s">
        <v>6</v>
      </c>
      <c r="D51" t="str">
        <f t="shared" si="0"/>
        <v>Cobra Kai</v>
      </c>
      <c r="E51" t="str">
        <f t="shared" si="1"/>
        <v>Temporada 6: Subestimados</v>
      </c>
    </row>
    <row r="52" spans="1:5" x14ac:dyDescent="0.25">
      <c r="A52" s="1" t="s">
        <v>55</v>
      </c>
      <c r="B52" s="2">
        <v>45654</v>
      </c>
      <c r="C52" s="1" t="s">
        <v>6</v>
      </c>
      <c r="D52" t="str">
        <f t="shared" si="0"/>
        <v>Cobra Kai</v>
      </c>
      <c r="E52" t="str">
        <f t="shared" si="1"/>
        <v>Temporada 6: Pijamada</v>
      </c>
    </row>
    <row r="53" spans="1:5" x14ac:dyDescent="0.25">
      <c r="A53" s="1" t="s">
        <v>56</v>
      </c>
      <c r="B53" s="2">
        <v>45654</v>
      </c>
      <c r="C53" s="1" t="s">
        <v>6</v>
      </c>
      <c r="D53" t="str">
        <f t="shared" si="0"/>
        <v>Cobra Kai</v>
      </c>
      <c r="E53" t="str">
        <f t="shared" si="1"/>
        <v>Temporada 6: El premio</v>
      </c>
    </row>
    <row r="54" spans="1:5" x14ac:dyDescent="0.25">
      <c r="A54" s="1" t="s">
        <v>57</v>
      </c>
      <c r="B54" s="2">
        <v>45654</v>
      </c>
      <c r="C54" s="1" t="s">
        <v>4</v>
      </c>
      <c r="D54" t="str">
        <f t="shared" si="0"/>
        <v/>
      </c>
      <c r="E54" t="str">
        <f t="shared" si="1"/>
        <v/>
      </c>
    </row>
    <row r="55" spans="1:5" x14ac:dyDescent="0.25">
      <c r="A55" s="1" t="s">
        <v>58</v>
      </c>
      <c r="B55" s="2">
        <v>45654</v>
      </c>
      <c r="C55" s="1" t="s">
        <v>6</v>
      </c>
      <c r="D55" t="str">
        <f t="shared" si="0"/>
        <v>Cobra Kai</v>
      </c>
      <c r="E55" t="str">
        <f t="shared" si="1"/>
        <v>Temporada 6: Tiempos de paz</v>
      </c>
    </row>
    <row r="56" spans="1:5" x14ac:dyDescent="0.25">
      <c r="A56" s="1" t="s">
        <v>59</v>
      </c>
      <c r="B56" s="2">
        <v>45649</v>
      </c>
      <c r="C56" s="1" t="s">
        <v>4</v>
      </c>
      <c r="D56" t="str">
        <f t="shared" si="0"/>
        <v/>
      </c>
      <c r="E56" t="str">
        <f t="shared" si="1"/>
        <v/>
      </c>
    </row>
    <row r="57" spans="1:5" x14ac:dyDescent="0.25">
      <c r="A57" s="1" t="s">
        <v>60</v>
      </c>
      <c r="B57" s="2">
        <v>45646</v>
      </c>
      <c r="C57" s="1" t="s">
        <v>6</v>
      </c>
      <c r="D57" t="str">
        <f t="shared" si="0"/>
        <v>La Palma</v>
      </c>
      <c r="E57" t="str">
        <f t="shared" si="1"/>
        <v>Miniserie: Punto seguro</v>
      </c>
    </row>
    <row r="58" spans="1:5" x14ac:dyDescent="0.25">
      <c r="A58" s="1" t="s">
        <v>61</v>
      </c>
      <c r="B58" s="2">
        <v>45646</v>
      </c>
      <c r="C58" s="1" t="s">
        <v>6</v>
      </c>
      <c r="D58" t="str">
        <f t="shared" si="0"/>
        <v>La Palma</v>
      </c>
      <c r="E58" t="str">
        <f t="shared" si="1"/>
        <v>Miniserie: A Tenerife</v>
      </c>
    </row>
    <row r="59" spans="1:5" x14ac:dyDescent="0.25">
      <c r="A59" s="1" t="s">
        <v>62</v>
      </c>
      <c r="B59" s="2">
        <v>45645</v>
      </c>
      <c r="C59" s="1" t="s">
        <v>6</v>
      </c>
      <c r="D59" t="str">
        <f t="shared" si="0"/>
        <v>La Palma</v>
      </c>
      <c r="E59" t="str">
        <f t="shared" si="1"/>
        <v>Miniserie: Despegue</v>
      </c>
    </row>
    <row r="60" spans="1:5" x14ac:dyDescent="0.25">
      <c r="A60" s="1" t="s">
        <v>63</v>
      </c>
      <c r="B60" s="2">
        <v>45645</v>
      </c>
      <c r="C60" s="1" t="s">
        <v>6</v>
      </c>
      <c r="D60" t="str">
        <f t="shared" si="0"/>
        <v>La Palma</v>
      </c>
      <c r="E60" t="str">
        <f t="shared" si="1"/>
        <v>Miniserie: El pastorcito mentiroso</v>
      </c>
    </row>
    <row r="61" spans="1:5" x14ac:dyDescent="0.25">
      <c r="A61" s="1" t="s">
        <v>64</v>
      </c>
      <c r="B61" s="2">
        <v>45515</v>
      </c>
      <c r="C61" s="1" t="s">
        <v>4</v>
      </c>
      <c r="D61" t="str">
        <f t="shared" si="0"/>
        <v/>
      </c>
      <c r="E61" t="str">
        <f t="shared" si="1"/>
        <v/>
      </c>
    </row>
    <row r="62" spans="1:5" x14ac:dyDescent="0.25">
      <c r="A62" s="1" t="s">
        <v>65</v>
      </c>
      <c r="B62" s="2">
        <v>45512</v>
      </c>
      <c r="C62" s="1" t="s">
        <v>6</v>
      </c>
      <c r="D62" t="str">
        <f t="shared" si="0"/>
        <v>Asesinato para principiantes</v>
      </c>
      <c r="E62" t="str">
        <f t="shared" si="1"/>
        <v>Temporada 1: Episodio 6</v>
      </c>
    </row>
    <row r="63" spans="1:5" x14ac:dyDescent="0.25">
      <c r="A63" s="1" t="s">
        <v>66</v>
      </c>
      <c r="B63" s="2">
        <v>45512</v>
      </c>
      <c r="C63" s="1" t="s">
        <v>6</v>
      </c>
      <c r="D63" t="str">
        <f t="shared" si="0"/>
        <v>Asesinato para principiantes</v>
      </c>
      <c r="E63" t="str">
        <f t="shared" si="1"/>
        <v>Temporada 1: Episodio 5</v>
      </c>
    </row>
    <row r="64" spans="1:5" x14ac:dyDescent="0.25">
      <c r="A64" s="1" t="s">
        <v>67</v>
      </c>
      <c r="B64" s="2">
        <v>45510</v>
      </c>
      <c r="C64" s="1" t="s">
        <v>6</v>
      </c>
      <c r="D64" t="str">
        <f t="shared" si="0"/>
        <v>Asesinato para principiantes</v>
      </c>
      <c r="E64" t="str">
        <f t="shared" si="1"/>
        <v>Temporada 1: Episodio 4</v>
      </c>
    </row>
    <row r="65" spans="1:5" x14ac:dyDescent="0.25">
      <c r="A65" s="1" t="s">
        <v>68</v>
      </c>
      <c r="B65" s="2">
        <v>45510</v>
      </c>
      <c r="C65" s="1" t="s">
        <v>6</v>
      </c>
      <c r="D65" t="str">
        <f t="shared" si="0"/>
        <v>Asesinato para principiantes</v>
      </c>
      <c r="E65" t="str">
        <f t="shared" si="1"/>
        <v>Temporada 1: Episodio 3</v>
      </c>
    </row>
    <row r="66" spans="1:5" x14ac:dyDescent="0.25">
      <c r="A66" s="1" t="s">
        <v>69</v>
      </c>
      <c r="B66" s="2">
        <v>45509</v>
      </c>
      <c r="C66" s="1" t="s">
        <v>6</v>
      </c>
      <c r="D66" t="str">
        <f t="shared" si="0"/>
        <v>Asesinato para principiantes</v>
      </c>
      <c r="E66" t="str">
        <f t="shared" si="1"/>
        <v>Temporada 1: Episodio 2</v>
      </c>
    </row>
    <row r="67" spans="1:5" x14ac:dyDescent="0.25">
      <c r="A67" s="1" t="s">
        <v>70</v>
      </c>
      <c r="B67" s="2">
        <v>45509</v>
      </c>
      <c r="C67" s="1" t="s">
        <v>6</v>
      </c>
      <c r="D67" t="str">
        <f>IF(C67="Serie", IFERROR(LEFT(A67, SEARCH(":", A67) - 1), A67), "")</f>
        <v>Asesinato para principiantes</v>
      </c>
      <c r="E67" t="str">
        <f>IF(C67="Serie", IFERROR(MID(A67, SEARCH(":", A67) + 2, LEN(A67)), A67), "")</f>
        <v>Temporada 1: Episodio 1</v>
      </c>
    </row>
    <row r="68" spans="1:5" x14ac:dyDescent="0.25">
      <c r="A68" s="1" t="s">
        <v>71</v>
      </c>
      <c r="B68" s="2">
        <v>45506</v>
      </c>
      <c r="C68" s="1" t="s">
        <v>4</v>
      </c>
      <c r="D68" t="str">
        <f>IF(C68="Serie", IFERROR(LEFT(A68, SEARCH(":", A68) - 1), A68), "")</f>
        <v/>
      </c>
      <c r="E68" t="str">
        <f>IF(C68="Serie", IFERROR(MID(A68, SEARCH(":", A68) + 2, LEN(A68)), A68), "")</f>
        <v/>
      </c>
    </row>
    <row r="69" spans="1:5" x14ac:dyDescent="0.25">
      <c r="A69" s="1" t="s">
        <v>72</v>
      </c>
      <c r="B69" s="2">
        <v>45501</v>
      </c>
      <c r="C69" s="1" t="s">
        <v>4</v>
      </c>
      <c r="D69" t="str">
        <f>IF(C69="Serie", IFERROR(LEFT(A69, SEARCH(":", A69) - 1), A69), "")</f>
        <v/>
      </c>
      <c r="E69" t="str">
        <f>IF(C69="Serie", IFERROR(MID(A69, SEARCH(":", A69) + 2, LEN(A69)), A69), "")</f>
        <v/>
      </c>
    </row>
    <row r="70" spans="1:5" x14ac:dyDescent="0.25">
      <c r="A70" s="1" t="s">
        <v>73</v>
      </c>
      <c r="B70" s="2">
        <v>45495</v>
      </c>
      <c r="C70" s="1" t="s">
        <v>4</v>
      </c>
      <c r="D70" t="str">
        <f>IF(C70="Serie", IFERROR(LEFT(A70, SEARCH(":", A70) - 1), A70), "")</f>
        <v/>
      </c>
      <c r="E70" t="str">
        <f>IF(C70="Serie", IFERROR(MID(A70, SEARCH(":", A70) + 2, LEN(A70)), A70), "")</f>
        <v/>
      </c>
    </row>
    <row r="71" spans="1:5" x14ac:dyDescent="0.25">
      <c r="A71" s="1" t="s">
        <v>74</v>
      </c>
      <c r="B71" s="2">
        <v>45486</v>
      </c>
      <c r="C71" s="1" t="s">
        <v>4</v>
      </c>
      <c r="D71" t="str">
        <f>IF(C71="Serie", IFERROR(LEFT(A71, SEARCH(":", A71) - 1), A71), "")</f>
        <v/>
      </c>
      <c r="E71" t="str">
        <f>IF(C71="Serie", IFERROR(MID(A71, SEARCH(":", A71) + 2, LEN(A71)), A71), "")</f>
        <v/>
      </c>
    </row>
    <row r="72" spans="1:5" x14ac:dyDescent="0.25">
      <c r="A72" s="1" t="s">
        <v>75</v>
      </c>
      <c r="B72" s="2">
        <v>45481</v>
      </c>
      <c r="C72" s="1" t="s">
        <v>4</v>
      </c>
      <c r="D72" t="str">
        <f>IF(C72="Serie", IFERROR(LEFT(A72, SEARCH(":", A72) - 1), A72), "")</f>
        <v/>
      </c>
      <c r="E72" t="str">
        <f>IF(C72="Serie", IFERROR(MID(A72, SEARCH(":", A72) + 2, LEN(A72)), A72), "")</f>
        <v/>
      </c>
    </row>
    <row r="73" spans="1:5" x14ac:dyDescent="0.25">
      <c r="A73" s="1" t="s">
        <v>76</v>
      </c>
      <c r="B73" s="2">
        <v>45450</v>
      </c>
      <c r="C73" s="1" t="s">
        <v>6</v>
      </c>
      <c r="D73" t="str">
        <f>IF(C73="Serie", IFERROR(LEFT(A73, SEARCH(":", A73) - 1), A73), "")</f>
        <v>Eric</v>
      </c>
      <c r="E73" t="str">
        <f>IF(C73="Serie", IFERROR(MID(A73, SEARCH(":", A73) + 2, LEN(A73)), A73), "")</f>
        <v>Miniserie: Episodio 1</v>
      </c>
    </row>
    <row r="74" spans="1:5" x14ac:dyDescent="0.25">
      <c r="A74" s="1" t="s">
        <v>77</v>
      </c>
      <c r="B74" s="2">
        <v>45427</v>
      </c>
      <c r="C74" s="1" t="s">
        <v>6</v>
      </c>
      <c r="D74" t="str">
        <f>IF(C74="Serie", IFERROR(LEFT(A74, SEARCH(":", A74) - 1), A74), "")</f>
        <v>Bebé reno</v>
      </c>
      <c r="E74" t="str">
        <f>IF(C74="Serie", IFERROR(MID(A74, SEARCH(":", A74) + 2, LEN(A74)), A74), "")</f>
        <v>Miniserie: Episodio 7</v>
      </c>
    </row>
    <row r="75" spans="1:5" x14ac:dyDescent="0.25">
      <c r="A75" s="1" t="s">
        <v>78</v>
      </c>
      <c r="B75" s="2">
        <v>45427</v>
      </c>
      <c r="C75" s="1" t="s">
        <v>6</v>
      </c>
      <c r="D75" t="str">
        <f>IF(C75="Serie", IFERROR(LEFT(A75, SEARCH(":", A75) - 1), A75), "")</f>
        <v>Bebé reno</v>
      </c>
      <c r="E75" t="str">
        <f>IF(C75="Serie", IFERROR(MID(A75, SEARCH(":", A75) + 2, LEN(A75)), A75), "")</f>
        <v>Miniserie: Episodio 6</v>
      </c>
    </row>
    <row r="76" spans="1:5" x14ac:dyDescent="0.25">
      <c r="A76" s="1" t="s">
        <v>79</v>
      </c>
      <c r="B76" s="2">
        <v>45426</v>
      </c>
      <c r="C76" s="1" t="s">
        <v>6</v>
      </c>
      <c r="D76" t="str">
        <f>IF(C76="Serie", IFERROR(LEFT(A76, SEARCH(":", A76) - 1), A76), "")</f>
        <v>Bebé reno</v>
      </c>
      <c r="E76" t="str">
        <f>IF(C76="Serie", IFERROR(MID(A76, SEARCH(":", A76) + 2, LEN(A76)), A76), "")</f>
        <v>Miniserie: Episodio 5</v>
      </c>
    </row>
    <row r="77" spans="1:5" x14ac:dyDescent="0.25">
      <c r="A77" s="1" t="s">
        <v>80</v>
      </c>
      <c r="B77" s="2">
        <v>45426</v>
      </c>
      <c r="C77" s="1" t="s">
        <v>6</v>
      </c>
      <c r="D77" t="str">
        <f>IF(C77="Serie", IFERROR(LEFT(A77, SEARCH(":", A77) - 1), A77), "")</f>
        <v>Bebé reno</v>
      </c>
      <c r="E77" t="str">
        <f>IF(C77="Serie", IFERROR(MID(A77, SEARCH(":", A77) + 2, LEN(A77)), A77), "")</f>
        <v>Miniserie: Episodio 4</v>
      </c>
    </row>
    <row r="78" spans="1:5" x14ac:dyDescent="0.25">
      <c r="A78" s="1" t="s">
        <v>81</v>
      </c>
      <c r="B78" s="2">
        <v>45425</v>
      </c>
      <c r="C78" s="1" t="s">
        <v>6</v>
      </c>
      <c r="D78" t="str">
        <f>IF(C78="Serie", IFERROR(LEFT(A78, SEARCH(":", A78) - 1), A78), "")</f>
        <v>Bebé reno</v>
      </c>
      <c r="E78" t="str">
        <f>IF(C78="Serie", IFERROR(MID(A78, SEARCH(":", A78) + 2, LEN(A78)), A78), "")</f>
        <v>Miniserie: Episodio 3</v>
      </c>
    </row>
    <row r="79" spans="1:5" x14ac:dyDescent="0.25">
      <c r="A79" s="1" t="s">
        <v>82</v>
      </c>
      <c r="B79" s="2">
        <v>45424</v>
      </c>
      <c r="C79" s="1" t="s">
        <v>6</v>
      </c>
      <c r="D79" t="str">
        <f>IF(C79="Serie", IFERROR(LEFT(A79, SEARCH(":", A79) - 1), A79), "")</f>
        <v>Bebé reno</v>
      </c>
      <c r="E79" t="str">
        <f>IF(C79="Serie", IFERROR(MID(A79, SEARCH(":", A79) + 2, LEN(A79)), A79), "")</f>
        <v>Miniserie: Episodio 2</v>
      </c>
    </row>
    <row r="80" spans="1:5" x14ac:dyDescent="0.25">
      <c r="A80" s="1" t="s">
        <v>83</v>
      </c>
      <c r="B80" s="2">
        <v>45424</v>
      </c>
      <c r="C80" s="1" t="s">
        <v>6</v>
      </c>
      <c r="D80" t="str">
        <f>IF(C80="Serie", IFERROR(LEFT(A80, SEARCH(":", A80) - 1), A80), "")</f>
        <v>Todo un hombre</v>
      </c>
      <c r="E80" t="str">
        <f>IF(C80="Serie", IFERROR(MID(A80, SEARCH(":", A80) + 2, LEN(A80)), A80), "")</f>
        <v>Miniserie: El día del juicio</v>
      </c>
    </row>
    <row r="81" spans="1:5" x14ac:dyDescent="0.25">
      <c r="A81" s="1" t="s">
        <v>84</v>
      </c>
      <c r="B81" s="2">
        <v>45424</v>
      </c>
      <c r="C81" s="1" t="s">
        <v>4</v>
      </c>
      <c r="D81" t="str">
        <f>IF(C81="Serie", IFERROR(LEFT(A81, SEARCH(":", A81) - 1), A81), "")</f>
        <v/>
      </c>
      <c r="E81" t="str">
        <f>IF(C81="Serie", IFERROR(MID(A81, SEARCH(":", A81) + 2, LEN(A81)), A81), "")</f>
        <v/>
      </c>
    </row>
    <row r="82" spans="1:5" x14ac:dyDescent="0.25">
      <c r="A82" s="1" t="s">
        <v>85</v>
      </c>
      <c r="B82" s="2">
        <v>45422</v>
      </c>
      <c r="C82" s="1" t="s">
        <v>6</v>
      </c>
      <c r="D82" t="str">
        <f>IF(C82="Serie", IFERROR(LEFT(A82, SEARCH(":", A82) - 1), A82), "")</f>
        <v>Todo un hombre</v>
      </c>
      <c r="E82" t="str">
        <f>IF(C82="Serie", IFERROR(MID(A82, SEARCH(":", A82) + 2, LEN(A82)), A82), "")</f>
        <v>Miniserie: La hora de la verdad</v>
      </c>
    </row>
    <row r="83" spans="1:5" x14ac:dyDescent="0.25">
      <c r="A83" s="1" t="s">
        <v>86</v>
      </c>
      <c r="B83" s="2">
        <v>45422</v>
      </c>
      <c r="C83" s="1" t="s">
        <v>6</v>
      </c>
      <c r="D83" t="str">
        <f>IF(C83="Serie", IFERROR(LEFT(A83, SEARCH(":", A83) - 1), A83), "")</f>
        <v>Todo un hombre</v>
      </c>
      <c r="E83" t="str">
        <f>IF(C83="Serie", IFERROR(MID(A83, SEARCH(":", A83) + 2, LEN(A83)), A83), "")</f>
        <v>Miniserie: Tic, tac</v>
      </c>
    </row>
    <row r="84" spans="1:5" x14ac:dyDescent="0.25">
      <c r="A84" s="1" t="s">
        <v>87</v>
      </c>
      <c r="B84" s="2">
        <v>45422</v>
      </c>
      <c r="C84" s="1" t="s">
        <v>6</v>
      </c>
      <c r="D84" t="str">
        <f>IF(C84="Serie", IFERROR(LEFT(A84, SEARCH(":", A84) - 1), A84), "")</f>
        <v>Bebé reno</v>
      </c>
      <c r="E84" t="str">
        <f>IF(C84="Serie", IFERROR(MID(A84, SEARCH(":", A84) + 2, LEN(A84)), A84), "")</f>
        <v>Miniserie: Episodio 1</v>
      </c>
    </row>
    <row r="85" spans="1:5" x14ac:dyDescent="0.25">
      <c r="A85" s="1" t="s">
        <v>88</v>
      </c>
      <c r="B85" s="2">
        <v>45422</v>
      </c>
      <c r="C85" s="1" t="s">
        <v>4</v>
      </c>
      <c r="D85" t="str">
        <f>IF(C85="Serie", IFERROR(LEFT(A85, SEARCH(":", A85) - 1), A85), "")</f>
        <v/>
      </c>
      <c r="E85" t="str">
        <f>IF(C85="Serie", IFERROR(MID(A85, SEARCH(":", A85) + 2, LEN(A85)), A85), "")</f>
        <v/>
      </c>
    </row>
    <row r="86" spans="1:5" x14ac:dyDescent="0.25">
      <c r="A86" s="1" t="s">
        <v>89</v>
      </c>
      <c r="B86" s="2">
        <v>45418</v>
      </c>
      <c r="C86" s="1" t="s">
        <v>6</v>
      </c>
      <c r="D86" t="str">
        <f>IF(C86="Serie", IFERROR(LEFT(A86, SEARCH(":", A86) - 1), A86), "")</f>
        <v>Todo un hombre</v>
      </c>
      <c r="E86" t="str">
        <f>IF(C86="Serie", IFERROR(MID(A86, SEARCH(":", A86) + 2, LEN(A86)), A86), "")</f>
        <v>Miniserie: La ruina</v>
      </c>
    </row>
    <row r="87" spans="1:5" x14ac:dyDescent="0.25">
      <c r="A87" s="1" t="s">
        <v>90</v>
      </c>
      <c r="B87" s="2">
        <v>45418</v>
      </c>
      <c r="C87" s="1" t="s">
        <v>6</v>
      </c>
      <c r="D87" t="str">
        <f>IF(C87="Serie", IFERROR(LEFT(A87, SEARCH(":", A87) - 1), A87), "")</f>
        <v>Todo un hombre</v>
      </c>
      <c r="E87" t="str">
        <f>IF(C87="Serie", IFERROR(MID(A87, SEARCH(":", A87) + 2, LEN(A87)), A87), "")</f>
        <v>Miniserie: Una derrota aplastante</v>
      </c>
    </row>
    <row r="88" spans="1:5" x14ac:dyDescent="0.25">
      <c r="A88" s="1" t="s">
        <v>91</v>
      </c>
      <c r="B88" s="2">
        <v>45418</v>
      </c>
      <c r="C88" s="1" t="s">
        <v>6</v>
      </c>
      <c r="D88" t="str">
        <f>IF(C88="Serie", IFERROR(LEFT(A88, SEARCH(":", A88) - 1), A88), "")</f>
        <v>Todo un hombre</v>
      </c>
      <c r="E88" t="str">
        <f>IF(C88="Serie", IFERROR(MID(A88, SEARCH(":", A88) + 2, LEN(A88)), A88), "")</f>
        <v>Miniserie: Alforjas</v>
      </c>
    </row>
    <row r="89" spans="1:5" x14ac:dyDescent="0.25">
      <c r="A89" s="1" t="s">
        <v>92</v>
      </c>
      <c r="B89" s="2">
        <v>45416</v>
      </c>
      <c r="C89" s="1" t="s">
        <v>4</v>
      </c>
      <c r="D89" t="str">
        <f>IF(C89="Serie", IFERROR(LEFT(A89, SEARCH(":", A89) - 1), A89), "")</f>
        <v/>
      </c>
      <c r="E89" t="str">
        <f>IF(C89="Serie", IFERROR(MID(A89, SEARCH(":", A89) + 2, LEN(A89)), A89), "")</f>
        <v/>
      </c>
    </row>
    <row r="90" spans="1:5" x14ac:dyDescent="0.25">
      <c r="A90" s="1" t="s">
        <v>93</v>
      </c>
      <c r="B90" s="2">
        <v>45416</v>
      </c>
      <c r="C90" s="1" t="s">
        <v>4</v>
      </c>
      <c r="D90" t="str">
        <f>IF(C90="Serie", IFERROR(LEFT(A90, SEARCH(":", A90) - 1), A90), "")</f>
        <v/>
      </c>
      <c r="E90" t="str">
        <f>IF(C90="Serie", IFERROR(MID(A90, SEARCH(":", A90) + 2, LEN(A90)), A90), "")</f>
        <v/>
      </c>
    </row>
    <row r="91" spans="1:5" x14ac:dyDescent="0.25">
      <c r="A91" s="1" t="s">
        <v>94</v>
      </c>
      <c r="B91" s="2">
        <v>45365</v>
      </c>
      <c r="C91" s="1" t="s">
        <v>4</v>
      </c>
      <c r="D91" t="str">
        <f>IF(C91="Serie", IFERROR(LEFT(A91, SEARCH(":", A91) - 1), A91), "")</f>
        <v/>
      </c>
      <c r="E91" t="str">
        <f>IF(C91="Serie", IFERROR(MID(A91, SEARCH(":", A91) + 2, LEN(A91)), A91), "")</f>
        <v/>
      </c>
    </row>
    <row r="92" spans="1:5" x14ac:dyDescent="0.25">
      <c r="A92" s="1" t="s">
        <v>95</v>
      </c>
      <c r="B92" s="2">
        <v>45363</v>
      </c>
      <c r="C92" s="1" t="s">
        <v>4</v>
      </c>
      <c r="D92" t="str">
        <f>IF(C92="Serie", IFERROR(LEFT(A92, SEARCH(":", A92) - 1), A92), "")</f>
        <v/>
      </c>
      <c r="E92" t="str">
        <f>IF(C92="Serie", IFERROR(MID(A92, SEARCH(":", A92) + 2, LEN(A92)), A92), "")</f>
        <v/>
      </c>
    </row>
    <row r="93" spans="1:5" x14ac:dyDescent="0.25">
      <c r="A93" s="1" t="s">
        <v>96</v>
      </c>
      <c r="B93" s="2">
        <v>45362</v>
      </c>
      <c r="C93" s="1" t="s">
        <v>4</v>
      </c>
      <c r="D93" t="str">
        <f>IF(C93="Serie", IFERROR(LEFT(A93, SEARCH(":", A93) - 1), A93), "")</f>
        <v/>
      </c>
      <c r="E93" t="str">
        <f>IF(C93="Serie", IFERROR(MID(A93, SEARCH(":", A93) + 2, LEN(A93)), A93), "")</f>
        <v/>
      </c>
    </row>
    <row r="94" spans="1:5" x14ac:dyDescent="0.25">
      <c r="A94" s="1" t="s">
        <v>97</v>
      </c>
      <c r="B94" s="2">
        <v>45362</v>
      </c>
      <c r="C94" s="1" t="s">
        <v>4</v>
      </c>
      <c r="D94" t="str">
        <f>IF(C94="Serie", IFERROR(LEFT(A94, SEARCH(":", A94) - 1), A94), "")</f>
        <v/>
      </c>
      <c r="E94" t="str">
        <f>IF(C94="Serie", IFERROR(MID(A94, SEARCH(":", A94) + 2, LEN(A94)), A94), "")</f>
        <v/>
      </c>
    </row>
    <row r="95" spans="1:5" x14ac:dyDescent="0.25">
      <c r="A95" s="1" t="s">
        <v>98</v>
      </c>
      <c r="B95" s="2">
        <v>45359</v>
      </c>
      <c r="C95" s="1" t="s">
        <v>6</v>
      </c>
      <c r="D95" t="str">
        <f>IF(C95="Serie", IFERROR(LEFT(A95, SEARCH(":", A95) - 1), A95), "")</f>
        <v>ARA San Juan</v>
      </c>
      <c r="E95" t="str">
        <f>IF(C95="Serie", IFERROR(MID(A95, SEARCH(":", A95) + 2, LEN(A95)), A95), "")</f>
        <v>El submarino que desapareció: Miniserie: El silencio</v>
      </c>
    </row>
    <row r="96" spans="1:5" x14ac:dyDescent="0.25">
      <c r="A96" s="1" t="s">
        <v>99</v>
      </c>
      <c r="B96" s="2">
        <v>45352</v>
      </c>
      <c r="C96" s="1" t="s">
        <v>4</v>
      </c>
      <c r="D96" t="str">
        <f>IF(C96="Serie", IFERROR(LEFT(A96, SEARCH(":", A96) - 1), A96), "")</f>
        <v/>
      </c>
      <c r="E96" t="str">
        <f>IF(C96="Serie", IFERROR(MID(A96, SEARCH(":", A96) + 2, LEN(A96)), A96), "")</f>
        <v/>
      </c>
    </row>
    <row r="97" spans="1:5" x14ac:dyDescent="0.25">
      <c r="A97" s="1" t="s">
        <v>100</v>
      </c>
      <c r="B97" s="2">
        <v>45352</v>
      </c>
      <c r="C97" s="1" t="s">
        <v>6</v>
      </c>
      <c r="D97" t="str">
        <f>IF(C97="Serie", IFERROR(SUBSTITUTE(LEFT(A97, SEARCH(":", A97, SEARCH(":", A97)+1)-1), "Avatar: la leyenda de Aang: ", ""), LEFT(A97, SEARCH(":", A97)-1)), "")</f>
        <v>Avatar: La leyenda de Aang</v>
      </c>
      <c r="E97" t="str">
        <f>IF(C97="Serie", IFERROR(MID(A97, SEARCH(":", A97, SEARCH(":", A97) + 1) + 2, LEN(A97)), IFERROR(MID(A97, SEARCH(":", A97) + 2, LEN(A97)), A97)), "")</f>
        <v>Avatar: la leyenda de Aang: Libro 3: Sozin's Comet: Parte 4: Avatar Aang</v>
      </c>
    </row>
    <row r="98" spans="1:5" x14ac:dyDescent="0.25">
      <c r="A98" s="1" t="s">
        <v>101</v>
      </c>
      <c r="B98" s="2">
        <v>45350</v>
      </c>
      <c r="C98" s="1" t="s">
        <v>6</v>
      </c>
      <c r="D98" t="str">
        <f>IF(C98="Serie", IFERROR(SUBSTITUTE(LEFT(A98, SEARCH(":", A98, SEARCH(":", A98)+1)-1), "Avatar: la leyenda de Aang: ", ""), LEFT(A98, SEARCH(":", A98)-1)), "")</f>
        <v>Avatar: La leyenda de Aang</v>
      </c>
      <c r="E98" t="str">
        <f>IF(C98="Serie", IFERROR(MID(A98, SEARCH(":", A98, SEARCH(":", A98) + 1) + 2, LEN(A98)), IFERROR(MID(A98, SEARCH(":", A98) + 2, LEN(A98)), A98)), "")</f>
        <v>Avatar: la leyenda de Aang: Libro 3: Sozin's Comet: Parte 3: Into the Inferno</v>
      </c>
    </row>
    <row r="99" spans="1:5" x14ac:dyDescent="0.25">
      <c r="A99" s="1" t="s">
        <v>102</v>
      </c>
      <c r="B99" s="2">
        <v>45350</v>
      </c>
      <c r="C99" s="1" t="s">
        <v>6</v>
      </c>
      <c r="D99" t="str">
        <f t="shared" ref="D99:D109" si="2">IF(C99="Serie", IFERROR(SUBSTITUTE(LEFT(A99, SEARCH(":", A99, SEARCH(":", A99)+1)-1), "Avatar: la leyenda de Aang: ", ""), LEFT(A99, SEARCH(":", A99)-1)), "")</f>
        <v>Avatar: La leyenda de Aang</v>
      </c>
      <c r="E99" t="str">
        <f t="shared" ref="E99:E110" si="3">IF(C99="Serie", IFERROR(MID(A99, SEARCH(":", A99, SEARCH(":", A99) + 1) + 2, LEN(A99)), IFERROR(MID(A99, SEARCH(":", A99) + 2, LEN(A99)), A99)), "")</f>
        <v>Avatar: la leyenda de Aang: Libro 3: Los maestros del Fuego control</v>
      </c>
    </row>
    <row r="100" spans="1:5" x14ac:dyDescent="0.25">
      <c r="A100" s="1" t="s">
        <v>103</v>
      </c>
      <c r="B100" s="2">
        <v>45350</v>
      </c>
      <c r="C100" s="1" t="s">
        <v>6</v>
      </c>
      <c r="D100" t="str">
        <f t="shared" si="2"/>
        <v>Avatar: La leyenda de Aang</v>
      </c>
      <c r="E100" t="str">
        <f t="shared" si="3"/>
        <v>Avatar: la leyenda de Aang: Libro 2: La encrucijada del destino</v>
      </c>
    </row>
    <row r="101" spans="1:5" x14ac:dyDescent="0.25">
      <c r="A101" s="1" t="s">
        <v>104</v>
      </c>
      <c r="B101" s="2">
        <v>45350</v>
      </c>
      <c r="C101" s="1" t="s">
        <v>6</v>
      </c>
      <c r="D101" t="str">
        <f t="shared" si="2"/>
        <v>Avatar: La leyenda de Aang</v>
      </c>
      <c r="E101" t="str">
        <f t="shared" si="3"/>
        <v>Temporada 1: Leyendas</v>
      </c>
    </row>
    <row r="102" spans="1:5" x14ac:dyDescent="0.25">
      <c r="A102" s="1" t="s">
        <v>105</v>
      </c>
      <c r="B102" s="2">
        <v>45349</v>
      </c>
      <c r="C102" s="1" t="s">
        <v>6</v>
      </c>
      <c r="D102" t="str">
        <f t="shared" si="2"/>
        <v>Avatar: La leyenda de Aang</v>
      </c>
      <c r="E102" t="str">
        <f t="shared" si="3"/>
        <v>Temporada 1: El norte</v>
      </c>
    </row>
    <row r="103" spans="1:5" x14ac:dyDescent="0.25">
      <c r="A103" s="1" t="s">
        <v>106</v>
      </c>
      <c r="B103" s="2">
        <v>45349</v>
      </c>
      <c r="C103" s="1" t="s">
        <v>6</v>
      </c>
      <c r="D103" t="str">
        <f t="shared" si="2"/>
        <v>Avatar: La leyenda de Aang</v>
      </c>
      <c r="E103" t="str">
        <f t="shared" si="3"/>
        <v>Temporada 1: Máscaras</v>
      </c>
    </row>
    <row r="104" spans="1:5" x14ac:dyDescent="0.25">
      <c r="A104" s="1" t="s">
        <v>107</v>
      </c>
      <c r="B104" s="2">
        <v>45349</v>
      </c>
      <c r="C104" s="1" t="s">
        <v>6</v>
      </c>
      <c r="D104" t="str">
        <f t="shared" si="2"/>
        <v>Avatar: La leyenda de Aang</v>
      </c>
      <c r="E104" t="str">
        <f t="shared" si="3"/>
        <v>Temporada 1: El viaje al Mundo de los Espíritus</v>
      </c>
    </row>
    <row r="105" spans="1:5" x14ac:dyDescent="0.25">
      <c r="A105" s="1" t="s">
        <v>108</v>
      </c>
      <c r="B105" s="2">
        <v>45348</v>
      </c>
      <c r="C105" s="1" t="s">
        <v>6</v>
      </c>
      <c r="D105" t="str">
        <f t="shared" si="2"/>
        <v>Avatar: La leyenda de Aang</v>
      </c>
      <c r="E105" t="str">
        <f t="shared" si="3"/>
        <v>Temporada 1: En la oscuridad</v>
      </c>
    </row>
    <row r="106" spans="1:5" x14ac:dyDescent="0.25">
      <c r="A106" s="1" t="s">
        <v>109</v>
      </c>
      <c r="B106" s="2">
        <v>45346</v>
      </c>
      <c r="C106" s="1" t="s">
        <v>6</v>
      </c>
      <c r="D106" t="str">
        <f t="shared" si="2"/>
        <v>Avatar: La leyenda de Aang</v>
      </c>
      <c r="E106" t="str">
        <f t="shared" si="3"/>
        <v>Temporada 1: Omashu</v>
      </c>
    </row>
    <row r="107" spans="1:5" x14ac:dyDescent="0.25">
      <c r="A107" s="1" t="s">
        <v>110</v>
      </c>
      <c r="B107" s="2">
        <v>45346</v>
      </c>
      <c r="C107" s="1" t="s">
        <v>4</v>
      </c>
      <c r="D107" t="str">
        <f t="shared" si="2"/>
        <v/>
      </c>
      <c r="E107" t="str">
        <f t="shared" si="3"/>
        <v/>
      </c>
    </row>
    <row r="108" spans="1:5" x14ac:dyDescent="0.25">
      <c r="A108" s="1" t="s">
        <v>111</v>
      </c>
      <c r="B108" s="2">
        <v>45345</v>
      </c>
      <c r="C108" s="1" t="s">
        <v>6</v>
      </c>
      <c r="D108" t="str">
        <f t="shared" si="2"/>
        <v>Avatar: La leyenda de Aang</v>
      </c>
      <c r="E108" t="str">
        <f t="shared" si="3"/>
        <v>Temporada 1: Guerreros</v>
      </c>
    </row>
    <row r="109" spans="1:5" x14ac:dyDescent="0.25">
      <c r="A109" s="1" t="s">
        <v>112</v>
      </c>
      <c r="B109" s="2">
        <v>45345</v>
      </c>
      <c r="C109" s="1" t="s">
        <v>6</v>
      </c>
      <c r="D109" t="str">
        <f t="shared" si="2"/>
        <v>Avatar: La leyenda de Aang</v>
      </c>
      <c r="E109" t="str">
        <f t="shared" si="3"/>
        <v>Temporada 1: Aang</v>
      </c>
    </row>
    <row r="110" spans="1:5" x14ac:dyDescent="0.25">
      <c r="A110" s="1" t="s">
        <v>113</v>
      </c>
      <c r="B110" s="2">
        <v>45344</v>
      </c>
      <c r="C110" s="1" t="s">
        <v>4</v>
      </c>
      <c r="D110" t="str">
        <f>IF(C110="Serie", IFERROR(LEFT(A110, SEARCH(":", A110) - 1), A110), "")</f>
        <v/>
      </c>
      <c r="E110" t="str">
        <f t="shared" si="3"/>
        <v/>
      </c>
    </row>
    <row r="111" spans="1:5" x14ac:dyDescent="0.25">
      <c r="A111" s="1" t="s">
        <v>114</v>
      </c>
      <c r="B111" s="2">
        <v>45339</v>
      </c>
      <c r="C111" s="1" t="s">
        <v>4</v>
      </c>
      <c r="D111" t="str">
        <f>IF(C111="Serie", IFERROR(LEFT(A111, SEARCH(":", A111) - 1), A111), "")</f>
        <v/>
      </c>
      <c r="E111" t="str">
        <f>IF(C111="Serie", IFERROR(MID(A111, SEARCH(":", A111) + 2, LEN(A111)), A111), "")</f>
        <v/>
      </c>
    </row>
    <row r="112" spans="1:5" x14ac:dyDescent="0.25">
      <c r="A112" s="1" t="s">
        <v>115</v>
      </c>
      <c r="B112" s="2">
        <v>45334</v>
      </c>
      <c r="C112" s="1" t="s">
        <v>6</v>
      </c>
      <c r="D112" t="str">
        <f>IF(C112="Serie", IFERROR(LEFT(A112, SEARCH(":", A112) - 1), A112), "")</f>
        <v>El turista</v>
      </c>
      <c r="E112" t="str">
        <f>IF(C112="Serie", IFERROR(MID(A112, SEARCH(":", A112) + 2, LEN(A112)), A112), "")</f>
        <v>Temporada 1: Episodio 1</v>
      </c>
    </row>
    <row r="113" spans="1:5" x14ac:dyDescent="0.25">
      <c r="A113" s="1" t="s">
        <v>116</v>
      </c>
      <c r="B113" s="2">
        <v>45334</v>
      </c>
      <c r="C113" s="1" t="s">
        <v>6</v>
      </c>
      <c r="D113" t="str">
        <f>IF(C113="Serie", IFERROR(LEFT(A113, SEARCH(":", A113) - 1), A113), "")</f>
        <v>Medicina letal</v>
      </c>
      <c r="E113" t="str">
        <f>IF(C113="Serie", IFERROR(MID(A113, SEARCH(":", A113) + 2, LEN(A113)), A113), "")</f>
        <v>Miniserie: El inicio de la epidemia</v>
      </c>
    </row>
    <row r="114" spans="1:5" x14ac:dyDescent="0.25">
      <c r="A114" s="1" t="s">
        <v>117</v>
      </c>
      <c r="B114" s="2">
        <v>45321</v>
      </c>
      <c r="C114" s="1" t="s">
        <v>6</v>
      </c>
      <c r="D114" t="str">
        <f>IF(C114="Serie", IFERROR(LEFT(A114, SEARCH(":", A114) - 1), A114), "")</f>
        <v>Casados con hijos</v>
      </c>
      <c r="E114" t="str">
        <f>IF(C114="Serie", IFERROR(MID(A114, SEARCH(":", A114) + 2, LEN(A114)), A114), "")</f>
        <v>Temporada 1: Hogar Dulce Hogar</v>
      </c>
    </row>
    <row r="115" spans="1:5" x14ac:dyDescent="0.25">
      <c r="A115" s="1" t="s">
        <v>118</v>
      </c>
      <c r="B115" s="2">
        <v>45315</v>
      </c>
      <c r="C115" s="1" t="s">
        <v>6</v>
      </c>
      <c r="D115" t="str">
        <f>IF(C115="Serie", IFERROR(LEFT(A115, SEARCH(":", A115) - 1), A115), "")</f>
        <v>Pesadilla de un secuestro en California</v>
      </c>
      <c r="E115" t="str">
        <f>IF(C115="Serie", IFERROR(MID(A115, SEARCH(":", A115) + 2, LEN(A115)), A115), "")</f>
        <v>Tercera parte: Los otros</v>
      </c>
    </row>
    <row r="116" spans="1:5" x14ac:dyDescent="0.25">
      <c r="A116" s="1" t="s">
        <v>119</v>
      </c>
      <c r="B116" s="2">
        <v>45314</v>
      </c>
      <c r="C116" s="1" t="s">
        <v>6</v>
      </c>
      <c r="D116" t="str">
        <f>IF(C116="Serie", IFERROR(LEFT(A116, SEARCH(":", A116) - 1), A116), "")</f>
        <v>Pesadilla de un secuestro en California</v>
      </c>
      <c r="E116" t="str">
        <f>IF(C116="Serie", IFERROR(MID(A116, SEARCH(":", A116) + 2, LEN(A116)), A116), "")</f>
        <v>Segunda parte: Perdida</v>
      </c>
    </row>
    <row r="117" spans="1:5" x14ac:dyDescent="0.25">
      <c r="A117" s="1" t="s">
        <v>120</v>
      </c>
      <c r="B117" s="2">
        <v>45314</v>
      </c>
      <c r="C117" s="1" t="s">
        <v>6</v>
      </c>
      <c r="D117" t="str">
        <f>IF(C117="Serie", IFERROR(LEFT(A117, SEARCH(":", A117) - 1), A117), "")</f>
        <v>Pesadilla de un secuestro en California</v>
      </c>
      <c r="E117" t="str">
        <f>IF(C117="Serie", IFERROR(MID(A117, SEARCH(":", A117) + 2, LEN(A117)), A117), "")</f>
        <v>Primera parte: El novio</v>
      </c>
    </row>
    <row r="118" spans="1:5" x14ac:dyDescent="0.25">
      <c r="A118" s="1" t="s">
        <v>121</v>
      </c>
      <c r="B118" s="2">
        <v>45307</v>
      </c>
      <c r="C118" s="1" t="s">
        <v>6</v>
      </c>
      <c r="D118" t="str">
        <f>IF(C118="Serie", IFERROR(LEFT(A118, SEARCH(":", A118) - 1), A118), "")</f>
        <v>Break Point</v>
      </c>
      <c r="E118" t="str">
        <f>IF(C118="Serie", IFERROR(MID(A118, SEARCH(":", A118) + 2, LEN(A118)), A118), "")</f>
        <v>Temporada 2: Ser número 1</v>
      </c>
    </row>
    <row r="119" spans="1:5" x14ac:dyDescent="0.25">
      <c r="A119" s="1" t="s">
        <v>122</v>
      </c>
      <c r="B119" s="2">
        <v>45307</v>
      </c>
      <c r="C119" s="1" t="s">
        <v>6</v>
      </c>
      <c r="D119" t="str">
        <f>IF(C119="Serie", IFERROR(LEFT(A119, SEARCH(":", A119) - 1), A119), "")</f>
        <v>Break Point</v>
      </c>
      <c r="E119" t="str">
        <f>IF(C119="Serie", IFERROR(MID(A119, SEARCH(":", A119) + 2, LEN(A119)), A119), "")</f>
        <v>Temporada 2: Ahora o nunca</v>
      </c>
    </row>
    <row r="120" spans="1:5" x14ac:dyDescent="0.25">
      <c r="A120" s="1" t="s">
        <v>123</v>
      </c>
      <c r="B120" s="2">
        <v>45307</v>
      </c>
      <c r="C120" s="1" t="s">
        <v>6</v>
      </c>
      <c r="D120" t="str">
        <f>IF(C120="Serie", IFERROR(LEFT(A120, SEARCH(":", A120) - 1), A120), "")</f>
        <v>Break Point</v>
      </c>
      <c r="E120" t="str">
        <f>IF(C120="Serie", IFERROR(MID(A120, SEARCH(":", A120) + 2, LEN(A120)), A120), "")</f>
        <v>Temporada 2: Un asunto pendiente</v>
      </c>
    </row>
    <row r="121" spans="1:5" x14ac:dyDescent="0.25">
      <c r="A121" s="1" t="s">
        <v>124</v>
      </c>
      <c r="B121" s="2">
        <v>45307</v>
      </c>
      <c r="C121" s="1" t="s">
        <v>6</v>
      </c>
      <c r="D121" t="str">
        <f>IF(C121="Serie", IFERROR(LEFT(A121, SEARCH(":", A121) - 1), A121), "")</f>
        <v>Break Point</v>
      </c>
      <c r="E121" t="str">
        <f>IF(C121="Serie", IFERROR(MID(A121, SEARCH(":", A121) + 2, LEN(A121)), A121), "")</f>
        <v>Temporada 2: Amigos y adversarios</v>
      </c>
    </row>
    <row r="122" spans="1:5" x14ac:dyDescent="0.25">
      <c r="A122" s="1" t="s">
        <v>125</v>
      </c>
      <c r="B122" s="2">
        <v>45307</v>
      </c>
      <c r="C122" s="1" t="s">
        <v>6</v>
      </c>
      <c r="D122" t="str">
        <f>IF(C122="Serie", IFERROR(LEFT(A122, SEARCH(":", A122) - 1), A122), "")</f>
        <v>Break Point</v>
      </c>
      <c r="E122" t="str">
        <f>IF(C122="Serie", IFERROR(MID(A122, SEARCH(":", A122) + 2, LEN(A122)), A122), "")</f>
        <v>Temporada 2: El futuro es tuyo</v>
      </c>
    </row>
    <row r="123" spans="1:5" x14ac:dyDescent="0.25">
      <c r="A123" s="1" t="s">
        <v>126</v>
      </c>
      <c r="B123" s="2">
        <v>45307</v>
      </c>
      <c r="C123" s="1" t="s">
        <v>6</v>
      </c>
      <c r="D123" t="str">
        <f>IF(C123="Serie", IFERROR(LEFT(A123, SEARCH(":", A123) - 1), A123), "")</f>
        <v>Break Point</v>
      </c>
      <c r="E123" t="str">
        <f>IF(C123="Serie", IFERROR(MID(A123, SEARCH(":", A123) + 2, LEN(A123)), A123), "")</f>
        <v>Temporada 2: La maldición</v>
      </c>
    </row>
    <row r="124" spans="1:5" x14ac:dyDescent="0.25">
      <c r="A124" s="1" t="s">
        <v>127</v>
      </c>
      <c r="B124" s="2">
        <v>45299</v>
      </c>
      <c r="C124" s="1" t="s">
        <v>4</v>
      </c>
      <c r="D124" t="str">
        <f>IF(C124="Serie", IFERROR(LEFT(A124, SEARCH(":", A124) - 1), A124), "")</f>
        <v/>
      </c>
      <c r="E124" t="str">
        <f>IF(C124="Serie", IFERROR(MID(A124, SEARCH(":", A124) + 2, LEN(A124)), A124), "")</f>
        <v/>
      </c>
    </row>
    <row r="125" spans="1:5" x14ac:dyDescent="0.25">
      <c r="A125" s="1" t="s">
        <v>128</v>
      </c>
      <c r="B125" s="2">
        <v>45299</v>
      </c>
      <c r="C125" s="1" t="s">
        <v>6</v>
      </c>
      <c r="D125" t="str">
        <f>IF(C125="Serie", IFERROR(LEFT(A125, SEARCH(":", A125) - 1), A125), "")</f>
        <v>Jeffrey Epstein</v>
      </c>
      <c r="E125" t="str">
        <f>IF(C125="Serie", IFERROR(MID(A125, SEARCH(":", A125) + 2, LEN(A125)), A125), "")</f>
        <v>Asquerosamente rico: Miniserie: Voces escuchadas</v>
      </c>
    </row>
    <row r="126" spans="1:5" x14ac:dyDescent="0.25">
      <c r="A126" s="1" t="s">
        <v>129</v>
      </c>
      <c r="B126" s="2">
        <v>45299</v>
      </c>
      <c r="C126" s="1" t="s">
        <v>6</v>
      </c>
      <c r="D126" t="str">
        <f>IF(C126="Serie", IFERROR(LEFT(A126, SEARCH(":", A126) - 1), A126), "")</f>
        <v>Jeffrey Epstein</v>
      </c>
      <c r="E126" t="str">
        <f>IF(C126="Serie", IFERROR(MID(A126, SEARCH(":", A126) + 2, LEN(A126)), A126), "")</f>
        <v>Asquerosamente rico: Miniserie: La isla</v>
      </c>
    </row>
    <row r="127" spans="1:5" x14ac:dyDescent="0.25">
      <c r="A127" s="1" t="s">
        <v>130</v>
      </c>
      <c r="B127" s="2">
        <v>45298</v>
      </c>
      <c r="C127" s="1" t="s">
        <v>6</v>
      </c>
      <c r="D127" t="str">
        <f>IF(C127="Serie", IFERROR(LEFT(A127, SEARCH(":", A127) - 1), A127), "")</f>
        <v>Jeffrey Epstein</v>
      </c>
      <c r="E127" t="str">
        <f>IF(C127="Serie", IFERROR(MID(A127, SEARCH(":", A127) + 2, LEN(A127)), A127), "")</f>
        <v>Asquerosamente rico: Miniserie: Sigue la pista del dinero</v>
      </c>
    </row>
    <row r="128" spans="1:5" x14ac:dyDescent="0.25">
      <c r="A128" s="1" t="s">
        <v>131</v>
      </c>
      <c r="B128" s="2">
        <v>45298</v>
      </c>
      <c r="C128" s="1" t="s">
        <v>6</v>
      </c>
      <c r="D128" t="str">
        <f>IF(C128="Serie", IFERROR(LEFT(A128, SEARCH(":", A128) - 1), A128), "")</f>
        <v>Jeffrey Epstein</v>
      </c>
      <c r="E128" t="str">
        <f>IF(C128="Serie", IFERROR(MID(A128, SEARCH(":", A128) + 2, LEN(A128)), A128), "")</f>
        <v>Asquerosamente rico: Miniserie: Zonas de caza</v>
      </c>
    </row>
    <row r="129" spans="1:5" x14ac:dyDescent="0.25">
      <c r="A129" s="1" t="s">
        <v>132</v>
      </c>
      <c r="B129" s="2">
        <v>45298</v>
      </c>
      <c r="C129" s="1" t="s">
        <v>6</v>
      </c>
      <c r="D129" t="str">
        <f>IF(C129="Serie", IFERROR(LEFT(A129, SEARCH(":", A129) - 1), A129), "")</f>
        <v>Engaños</v>
      </c>
      <c r="E129" t="str">
        <f>IF(C129="Serie", IFERROR(MID(A129, SEARCH(":", A129) + 2, LEN(A129)), A129), "")</f>
        <v>Miniserie: Episodio 1</v>
      </c>
    </row>
    <row r="130" spans="1:5" x14ac:dyDescent="0.25">
      <c r="A130" s="1" t="s">
        <v>133</v>
      </c>
      <c r="B130" s="2">
        <v>45297</v>
      </c>
      <c r="C130" s="1" t="s">
        <v>4</v>
      </c>
      <c r="D130" t="str">
        <f>IF(C130="Serie", IFERROR(LEFT(A130, SEARCH(":", A130) - 1), A130), "")</f>
        <v/>
      </c>
      <c r="E130" t="str">
        <f>IF(C130="Serie", IFERROR(MID(A130, SEARCH(":", A130) + 2, LEN(A130)), A130), "")</f>
        <v/>
      </c>
    </row>
    <row r="131" spans="1:5" x14ac:dyDescent="0.25">
      <c r="A131" s="1" t="s">
        <v>134</v>
      </c>
      <c r="B131" s="2">
        <v>45291</v>
      </c>
      <c r="C131" s="1" t="s">
        <v>6</v>
      </c>
      <c r="D131" t="str">
        <f t="shared" ref="D131:D189" si="4">IF(C131="Serie", IFERROR(LEFT(A131, SEARCH(":", A131) - 1), A131), "")</f>
        <v>The Walking Dead</v>
      </c>
      <c r="E131" t="str">
        <f t="shared" ref="E131:E189" si="5">IF(C131="Serie", IFERROR(MID(A131, SEARCH(":", A131) + 2, LEN(A131)), A131), "")</f>
        <v>Temporada 10: Los límites que cruzamos</v>
      </c>
    </row>
    <row r="132" spans="1:5" x14ac:dyDescent="0.25">
      <c r="A132" s="1" t="s">
        <v>135</v>
      </c>
      <c r="B132" s="2">
        <v>45291</v>
      </c>
      <c r="C132" s="1" t="s">
        <v>6</v>
      </c>
      <c r="D132" t="str">
        <f t="shared" si="4"/>
        <v>The Walking Dead</v>
      </c>
      <c r="E132" t="str">
        <f t="shared" si="5"/>
        <v>Temporada 9: La tormenta</v>
      </c>
    </row>
    <row r="133" spans="1:5" x14ac:dyDescent="0.25">
      <c r="A133" s="1" t="s">
        <v>136</v>
      </c>
      <c r="B133" s="2">
        <v>45291</v>
      </c>
      <c r="C133" s="1" t="s">
        <v>6</v>
      </c>
      <c r="D133" t="str">
        <f t="shared" si="4"/>
        <v>The Walking Dead</v>
      </c>
      <c r="E133" t="str">
        <f t="shared" si="5"/>
        <v>Temporada 10: Nosotros somos el fin del mundo</v>
      </c>
    </row>
    <row r="134" spans="1:5" x14ac:dyDescent="0.25">
      <c r="A134" s="1" t="s">
        <v>137</v>
      </c>
      <c r="B134" s="2">
        <v>45291</v>
      </c>
      <c r="C134" s="1" t="s">
        <v>6</v>
      </c>
      <c r="D134" t="str">
        <f t="shared" si="4"/>
        <v>The Walking Dead</v>
      </c>
      <c r="E134" t="str">
        <f t="shared" si="5"/>
        <v>Temporada 9: La calma previa</v>
      </c>
    </row>
    <row r="135" spans="1:5" x14ac:dyDescent="0.25">
      <c r="A135" s="1" t="s">
        <v>138</v>
      </c>
      <c r="B135" s="2">
        <v>45291</v>
      </c>
      <c r="C135" s="1" t="s">
        <v>6</v>
      </c>
      <c r="D135" t="str">
        <f t="shared" si="4"/>
        <v>The Walking Dead</v>
      </c>
      <c r="E135" t="str">
        <f t="shared" si="5"/>
        <v>Temporada 9: Cicatrices</v>
      </c>
    </row>
    <row r="136" spans="1:5" x14ac:dyDescent="0.25">
      <c r="A136" s="1" t="s">
        <v>139</v>
      </c>
      <c r="B136" s="2">
        <v>45291</v>
      </c>
      <c r="C136" s="1" t="s">
        <v>6</v>
      </c>
      <c r="D136" t="str">
        <f t="shared" si="4"/>
        <v>The Walking Dead</v>
      </c>
      <c r="E136" t="str">
        <f t="shared" si="5"/>
        <v>Temporada 9: Paso estrecho</v>
      </c>
    </row>
    <row r="137" spans="1:5" x14ac:dyDescent="0.25">
      <c r="A137" s="1" t="s">
        <v>140</v>
      </c>
      <c r="B137" s="2">
        <v>45290</v>
      </c>
      <c r="C137" s="1" t="s">
        <v>6</v>
      </c>
      <c r="D137" t="str">
        <f t="shared" si="4"/>
        <v>The Walking Dead</v>
      </c>
      <c r="E137" t="str">
        <f t="shared" si="5"/>
        <v>Temporada 9: Guardianes</v>
      </c>
    </row>
    <row r="138" spans="1:5" x14ac:dyDescent="0.25">
      <c r="A138" s="1" t="s">
        <v>141</v>
      </c>
      <c r="B138" s="2">
        <v>45290</v>
      </c>
      <c r="C138" s="1" t="s">
        <v>4</v>
      </c>
      <c r="D138" t="str">
        <f t="shared" si="4"/>
        <v/>
      </c>
      <c r="E138" t="str">
        <f t="shared" si="5"/>
        <v/>
      </c>
    </row>
    <row r="139" spans="1:5" x14ac:dyDescent="0.25">
      <c r="A139" s="1" t="s">
        <v>142</v>
      </c>
      <c r="B139" s="2">
        <v>45290</v>
      </c>
      <c r="C139" s="1" t="s">
        <v>6</v>
      </c>
      <c r="D139" t="str">
        <f t="shared" si="4"/>
        <v>The Walking Dead</v>
      </c>
      <c r="E139" t="str">
        <f t="shared" si="5"/>
        <v>Temporada 9: Recompensa</v>
      </c>
    </row>
    <row r="140" spans="1:5" x14ac:dyDescent="0.25">
      <c r="A140" s="1" t="s">
        <v>143</v>
      </c>
      <c r="B140" s="2">
        <v>45290</v>
      </c>
      <c r="C140" s="1" t="s">
        <v>6</v>
      </c>
      <c r="D140" t="str">
        <f t="shared" si="4"/>
        <v>The Walking Dead</v>
      </c>
      <c r="E140" t="str">
        <f t="shared" si="5"/>
        <v>Temporada 9: Omega</v>
      </c>
    </row>
    <row r="141" spans="1:5" x14ac:dyDescent="0.25">
      <c r="A141" s="1" t="s">
        <v>144</v>
      </c>
      <c r="B141" s="2">
        <v>45290</v>
      </c>
      <c r="C141" s="1" t="s">
        <v>6</v>
      </c>
      <c r="D141" t="str">
        <f t="shared" si="4"/>
        <v>The Walking Dead</v>
      </c>
      <c r="E141" t="str">
        <f t="shared" si="5"/>
        <v>Temporada 9: Adaptación</v>
      </c>
    </row>
    <row r="142" spans="1:5" x14ac:dyDescent="0.25">
      <c r="A142" s="1" t="s">
        <v>145</v>
      </c>
      <c r="B142" s="2">
        <v>45290</v>
      </c>
      <c r="C142" s="1" t="s">
        <v>6</v>
      </c>
      <c r="D142" t="str">
        <f t="shared" si="4"/>
        <v>The Walking Dead</v>
      </c>
      <c r="E142" t="str">
        <f t="shared" si="5"/>
        <v>Temporada 9: Evolución</v>
      </c>
    </row>
    <row r="143" spans="1:5" x14ac:dyDescent="0.25">
      <c r="A143" s="1" t="s">
        <v>146</v>
      </c>
      <c r="B143" s="2">
        <v>45290</v>
      </c>
      <c r="C143" s="1" t="s">
        <v>6</v>
      </c>
      <c r="D143" t="str">
        <f t="shared" si="4"/>
        <v>The Walking Dead</v>
      </c>
      <c r="E143" t="str">
        <f t="shared" si="5"/>
        <v>Temporada 9: Stradivarius</v>
      </c>
    </row>
    <row r="144" spans="1:5" x14ac:dyDescent="0.25">
      <c r="A144" s="1" t="s">
        <v>147</v>
      </c>
      <c r="B144" s="2">
        <v>45290</v>
      </c>
      <c r="C144" s="1" t="s">
        <v>6</v>
      </c>
      <c r="D144" t="str">
        <f t="shared" si="4"/>
        <v>The Walking Dead</v>
      </c>
      <c r="E144" t="str">
        <f t="shared" si="5"/>
        <v>Temporada 9: ¿Quiénes somos ahora?</v>
      </c>
    </row>
    <row r="145" spans="1:5" x14ac:dyDescent="0.25">
      <c r="A145" s="1" t="s">
        <v>148</v>
      </c>
      <c r="B145" s="2">
        <v>45290</v>
      </c>
      <c r="C145" s="1" t="s">
        <v>6</v>
      </c>
      <c r="D145" t="str">
        <f t="shared" si="4"/>
        <v>The Walking Dead</v>
      </c>
      <c r="E145" t="str">
        <f t="shared" si="5"/>
        <v>Temporada 9: ¿Qué viene después?</v>
      </c>
    </row>
    <row r="146" spans="1:5" x14ac:dyDescent="0.25">
      <c r="A146" s="1" t="s">
        <v>149</v>
      </c>
      <c r="B146" s="2">
        <v>45289</v>
      </c>
      <c r="C146" s="1" t="s">
        <v>6</v>
      </c>
      <c r="D146" t="str">
        <f t="shared" si="4"/>
        <v>The Walking Dead</v>
      </c>
      <c r="E146" t="str">
        <f t="shared" si="5"/>
        <v>Temporada 9: El obligado</v>
      </c>
    </row>
    <row r="147" spans="1:5" x14ac:dyDescent="0.25">
      <c r="A147" s="1" t="s">
        <v>150</v>
      </c>
      <c r="B147" s="2">
        <v>45289</v>
      </c>
      <c r="C147" s="1" t="s">
        <v>6</v>
      </c>
      <c r="D147" t="str">
        <f t="shared" si="4"/>
        <v>The Walking Dead</v>
      </c>
      <c r="E147" t="str">
        <f t="shared" si="5"/>
        <v>Temporada 9: Señales de alerta</v>
      </c>
    </row>
    <row r="148" spans="1:5" x14ac:dyDescent="0.25">
      <c r="A148" s="1" t="s">
        <v>151</v>
      </c>
      <c r="B148" s="2">
        <v>45289</v>
      </c>
      <c r="C148" s="1" t="s">
        <v>6</v>
      </c>
      <c r="D148" t="str">
        <f t="shared" si="4"/>
        <v>The Walking Dead</v>
      </c>
      <c r="E148" t="str">
        <f t="shared" si="5"/>
        <v>Temporada 9: El puente</v>
      </c>
    </row>
    <row r="149" spans="1:5" x14ac:dyDescent="0.25">
      <c r="A149" s="1" t="s">
        <v>152</v>
      </c>
      <c r="B149" s="2">
        <v>45289</v>
      </c>
      <c r="C149" s="1" t="s">
        <v>6</v>
      </c>
      <c r="D149" t="str">
        <f t="shared" si="4"/>
        <v>The Walking Dead</v>
      </c>
      <c r="E149" t="str">
        <f t="shared" si="5"/>
        <v>Temporada 9: Un nuevo comienzo</v>
      </c>
    </row>
    <row r="150" spans="1:5" x14ac:dyDescent="0.25">
      <c r="A150" s="1" t="s">
        <v>153</v>
      </c>
      <c r="B150" s="2">
        <v>45289</v>
      </c>
      <c r="C150" s="1" t="s">
        <v>6</v>
      </c>
      <c r="D150" t="str">
        <f t="shared" si="4"/>
        <v>The Walking Dead</v>
      </c>
      <c r="E150" t="str">
        <f t="shared" si="5"/>
        <v>Temporada 3: El rey suicida</v>
      </c>
    </row>
    <row r="151" spans="1:5" x14ac:dyDescent="0.25">
      <c r="A151" s="1" t="s">
        <v>154</v>
      </c>
      <c r="B151" s="2">
        <v>45288</v>
      </c>
      <c r="C151" s="1" t="s">
        <v>6</v>
      </c>
      <c r="D151" t="str">
        <f t="shared" si="4"/>
        <v>The Walking Dead</v>
      </c>
      <c r="E151" t="str">
        <f t="shared" si="5"/>
        <v>Temporada 3: Creados para sufrir</v>
      </c>
    </row>
    <row r="152" spans="1:5" x14ac:dyDescent="0.25">
      <c r="A152" s="1" t="s">
        <v>155</v>
      </c>
      <c r="B152" s="2">
        <v>45288</v>
      </c>
      <c r="C152" s="1" t="s">
        <v>6</v>
      </c>
      <c r="D152" t="str">
        <f t="shared" si="4"/>
        <v>The Walking Dead</v>
      </c>
      <c r="E152" t="str">
        <f t="shared" si="5"/>
        <v>Temporada 3: Cuando los muertos vienen tocando</v>
      </c>
    </row>
    <row r="153" spans="1:5" x14ac:dyDescent="0.25">
      <c r="A153" s="1" t="s">
        <v>156</v>
      </c>
      <c r="B153" s="2">
        <v>45288</v>
      </c>
      <c r="C153" s="1" t="s">
        <v>6</v>
      </c>
      <c r="D153" t="str">
        <f t="shared" si="4"/>
        <v>The Walking Dead</v>
      </c>
      <c r="E153" t="str">
        <f t="shared" si="5"/>
        <v>Temporada 3: Perseguido</v>
      </c>
    </row>
    <row r="154" spans="1:5" x14ac:dyDescent="0.25">
      <c r="A154" s="1" t="s">
        <v>157</v>
      </c>
      <c r="B154" s="2">
        <v>45288</v>
      </c>
      <c r="C154" s="1" t="s">
        <v>6</v>
      </c>
      <c r="D154" t="str">
        <f t="shared" si="4"/>
        <v>The Walking Dead</v>
      </c>
      <c r="E154" t="str">
        <f t="shared" si="5"/>
        <v>Temporada 3: Da la orden</v>
      </c>
    </row>
    <row r="155" spans="1:5" x14ac:dyDescent="0.25">
      <c r="A155" s="1" t="s">
        <v>158</v>
      </c>
      <c r="B155" s="2">
        <v>45288</v>
      </c>
      <c r="C155" s="1" t="s">
        <v>6</v>
      </c>
      <c r="D155" t="str">
        <f t="shared" si="4"/>
        <v>The Walking Dead</v>
      </c>
      <c r="E155" t="str">
        <f t="shared" si="5"/>
        <v>Temporada 3: Asesino interior</v>
      </c>
    </row>
    <row r="156" spans="1:5" x14ac:dyDescent="0.25">
      <c r="A156" s="1" t="s">
        <v>159</v>
      </c>
      <c r="B156" s="2">
        <v>45288</v>
      </c>
      <c r="C156" s="1" t="s">
        <v>6</v>
      </c>
      <c r="D156" t="str">
        <f t="shared" si="4"/>
        <v>The Walking Dead</v>
      </c>
      <c r="E156" t="str">
        <f t="shared" si="5"/>
        <v>Temporada 3: Camina conmigo</v>
      </c>
    </row>
    <row r="157" spans="1:5" x14ac:dyDescent="0.25">
      <c r="A157" s="1" t="s">
        <v>160</v>
      </c>
      <c r="B157" s="2">
        <v>45287</v>
      </c>
      <c r="C157" s="1" t="s">
        <v>6</v>
      </c>
      <c r="D157" t="str">
        <f t="shared" si="4"/>
        <v>The Walking Dead</v>
      </c>
      <c r="E157" t="str">
        <f t="shared" si="5"/>
        <v>Temporada 3: Enfermo</v>
      </c>
    </row>
    <row r="158" spans="1:5" x14ac:dyDescent="0.25">
      <c r="A158" s="1" t="s">
        <v>161</v>
      </c>
      <c r="B158" s="2">
        <v>45287</v>
      </c>
      <c r="C158" s="1" t="s">
        <v>6</v>
      </c>
      <c r="D158" t="str">
        <f t="shared" si="4"/>
        <v>The Walking Dead</v>
      </c>
      <c r="E158" t="str">
        <f t="shared" si="5"/>
        <v>Temporada 3: Semilla</v>
      </c>
    </row>
    <row r="159" spans="1:5" x14ac:dyDescent="0.25">
      <c r="A159" s="1" t="s">
        <v>162</v>
      </c>
      <c r="B159" s="2">
        <v>45287</v>
      </c>
      <c r="C159" s="1" t="s">
        <v>6</v>
      </c>
      <c r="D159" t="str">
        <f t="shared" si="4"/>
        <v>The Walking Dead</v>
      </c>
      <c r="E159" t="str">
        <f t="shared" si="5"/>
        <v>Temporada 2: Junto al fuego que se extingue</v>
      </c>
    </row>
    <row r="160" spans="1:5" x14ac:dyDescent="0.25">
      <c r="A160" s="1" t="s">
        <v>163</v>
      </c>
      <c r="B160" s="2">
        <v>45287</v>
      </c>
      <c r="C160" s="1" t="s">
        <v>6</v>
      </c>
      <c r="D160" t="str">
        <f t="shared" si="4"/>
        <v>The Walking Dead</v>
      </c>
      <c r="E160" t="str">
        <f t="shared" si="5"/>
        <v>Temporada 2: Los mejores ángeles</v>
      </c>
    </row>
    <row r="161" spans="1:5" x14ac:dyDescent="0.25">
      <c r="A161" s="1" t="s">
        <v>164</v>
      </c>
      <c r="B161" s="2">
        <v>45287</v>
      </c>
      <c r="C161" s="1" t="s">
        <v>6</v>
      </c>
      <c r="D161" t="str">
        <f t="shared" si="4"/>
        <v>The Walking Dead</v>
      </c>
      <c r="E161" t="str">
        <f t="shared" si="5"/>
        <v>Temporada 2: Juez, jurado y verdugo</v>
      </c>
    </row>
    <row r="162" spans="1:5" x14ac:dyDescent="0.25">
      <c r="A162" s="1" t="s">
        <v>165</v>
      </c>
      <c r="B162" s="2">
        <v>45287</v>
      </c>
      <c r="C162" s="1" t="s">
        <v>6</v>
      </c>
      <c r="D162" t="str">
        <f t="shared" si="4"/>
        <v>The Walking Dead</v>
      </c>
      <c r="E162" t="str">
        <f t="shared" si="5"/>
        <v>Temporada 2: A 30 kilómetros</v>
      </c>
    </row>
    <row r="163" spans="1:5" x14ac:dyDescent="0.25">
      <c r="A163" s="1" t="s">
        <v>166</v>
      </c>
      <c r="B163" s="2">
        <v>45287</v>
      </c>
      <c r="C163" s="1" t="s">
        <v>6</v>
      </c>
      <c r="D163" t="str">
        <f t="shared" si="4"/>
        <v>The Walking Dead</v>
      </c>
      <c r="E163" t="str">
        <f t="shared" si="5"/>
        <v>Temporada 2: Dedo en gatillo</v>
      </c>
    </row>
    <row r="164" spans="1:5" x14ac:dyDescent="0.25">
      <c r="A164" s="1" t="s">
        <v>167</v>
      </c>
      <c r="B164" s="2">
        <v>45287</v>
      </c>
      <c r="C164" s="1" t="s">
        <v>6</v>
      </c>
      <c r="D164" t="str">
        <f t="shared" si="4"/>
        <v>The Walking Dead</v>
      </c>
      <c r="E164" t="str">
        <f t="shared" si="5"/>
        <v>Temporada 2: Nebraska</v>
      </c>
    </row>
    <row r="165" spans="1:5" x14ac:dyDescent="0.25">
      <c r="A165" s="1" t="s">
        <v>168</v>
      </c>
      <c r="B165" s="2">
        <v>45287</v>
      </c>
      <c r="C165" s="1" t="s">
        <v>6</v>
      </c>
      <c r="D165" t="str">
        <f t="shared" si="4"/>
        <v>The Walking Dead</v>
      </c>
      <c r="E165" t="str">
        <f t="shared" si="5"/>
        <v>Temporada 2: Prácticamente muertos</v>
      </c>
    </row>
    <row r="166" spans="1:5" x14ac:dyDescent="0.25">
      <c r="A166" s="1" t="s">
        <v>169</v>
      </c>
      <c r="B166" s="2">
        <v>45286</v>
      </c>
      <c r="C166" s="1" t="s">
        <v>6</v>
      </c>
      <c r="D166" t="str">
        <f t="shared" si="4"/>
        <v>The Walking Dead</v>
      </c>
      <c r="E166" t="str">
        <f t="shared" si="5"/>
        <v>Temporada 2: Secretos</v>
      </c>
    </row>
    <row r="167" spans="1:5" x14ac:dyDescent="0.25">
      <c r="A167" s="1" t="s">
        <v>170</v>
      </c>
      <c r="B167" s="2">
        <v>45286</v>
      </c>
      <c r="C167" s="1" t="s">
        <v>6</v>
      </c>
      <c r="D167" t="str">
        <f t="shared" si="4"/>
        <v>The Walking Dead</v>
      </c>
      <c r="E167" t="str">
        <f t="shared" si="5"/>
        <v>Temporada 2: El chupacabras</v>
      </c>
    </row>
    <row r="168" spans="1:5" x14ac:dyDescent="0.25">
      <c r="A168" s="1" t="s">
        <v>171</v>
      </c>
      <c r="B168" s="2">
        <v>45286</v>
      </c>
      <c r="C168" s="1" t="s">
        <v>6</v>
      </c>
      <c r="D168" t="str">
        <f t="shared" si="4"/>
        <v>The Walking Dead</v>
      </c>
      <c r="E168" t="str">
        <f t="shared" si="5"/>
        <v>Temporada 2: La rosa cheroqui</v>
      </c>
    </row>
    <row r="169" spans="1:5" x14ac:dyDescent="0.25">
      <c r="A169" s="1" t="s">
        <v>172</v>
      </c>
      <c r="B169" s="2">
        <v>45286</v>
      </c>
      <c r="C169" s="1" t="s">
        <v>6</v>
      </c>
      <c r="D169" t="str">
        <f t="shared" si="4"/>
        <v>The Walking Dead</v>
      </c>
      <c r="E169" t="str">
        <f t="shared" si="5"/>
        <v>Temporada 2: Guarda la última</v>
      </c>
    </row>
    <row r="170" spans="1:5" x14ac:dyDescent="0.25">
      <c r="A170" s="1" t="s">
        <v>173</v>
      </c>
      <c r="B170" s="2">
        <v>45286</v>
      </c>
      <c r="C170" s="1" t="s">
        <v>6</v>
      </c>
      <c r="D170" t="str">
        <f t="shared" si="4"/>
        <v>The Walking Dead</v>
      </c>
      <c r="E170" t="str">
        <f t="shared" si="5"/>
        <v>Temporada 2: Sangría</v>
      </c>
    </row>
    <row r="171" spans="1:5" x14ac:dyDescent="0.25">
      <c r="A171" s="1" t="s">
        <v>174</v>
      </c>
      <c r="B171" s="2">
        <v>45286</v>
      </c>
      <c r="C171" s="1" t="s">
        <v>6</v>
      </c>
      <c r="D171" t="str">
        <f t="shared" si="4"/>
        <v>The Walking Dead</v>
      </c>
      <c r="E171" t="str">
        <f t="shared" si="5"/>
        <v>Temporada 2: Lo que nos espera</v>
      </c>
    </row>
    <row r="172" spans="1:5" x14ac:dyDescent="0.25">
      <c r="A172" s="1" t="s">
        <v>175</v>
      </c>
      <c r="B172" s="2">
        <v>45286</v>
      </c>
      <c r="C172" s="1" t="s">
        <v>6</v>
      </c>
      <c r="D172" t="str">
        <f t="shared" si="4"/>
        <v>The Walking Dead</v>
      </c>
      <c r="E172" t="str">
        <f t="shared" si="5"/>
        <v>Temporada 1: TS-19</v>
      </c>
    </row>
    <row r="173" spans="1:5" x14ac:dyDescent="0.25">
      <c r="A173" s="1" t="s">
        <v>176</v>
      </c>
      <c r="B173" s="2">
        <v>45286</v>
      </c>
      <c r="C173" s="1" t="s">
        <v>6</v>
      </c>
      <c r="D173" t="str">
        <f t="shared" si="4"/>
        <v>The Walking Dead</v>
      </c>
      <c r="E173" t="str">
        <f t="shared" si="5"/>
        <v>Temporada 1: Código Wildfire</v>
      </c>
    </row>
    <row r="174" spans="1:5" x14ac:dyDescent="0.25">
      <c r="A174" s="1" t="s">
        <v>177</v>
      </c>
      <c r="B174" s="2">
        <v>45286</v>
      </c>
      <c r="C174" s="1" t="s">
        <v>6</v>
      </c>
      <c r="D174" t="str">
        <f t="shared" si="4"/>
        <v>The Walking Dead</v>
      </c>
      <c r="E174" t="str">
        <f t="shared" si="5"/>
        <v>Temporada 1: Muchachos</v>
      </c>
    </row>
    <row r="175" spans="1:5" x14ac:dyDescent="0.25">
      <c r="A175" s="1" t="s">
        <v>178</v>
      </c>
      <c r="B175" s="2">
        <v>45286</v>
      </c>
      <c r="C175" s="1" t="s">
        <v>6</v>
      </c>
      <c r="D175" t="str">
        <f t="shared" si="4"/>
        <v>The Walking Dead</v>
      </c>
      <c r="E175" t="str">
        <f t="shared" si="5"/>
        <v>Temporada 1: Díselo a las ranas</v>
      </c>
    </row>
    <row r="176" spans="1:5" x14ac:dyDescent="0.25">
      <c r="A176" s="1" t="s">
        <v>179</v>
      </c>
      <c r="B176" s="2">
        <v>45285</v>
      </c>
      <c r="C176" s="1" t="s">
        <v>6</v>
      </c>
      <c r="D176" t="str">
        <f t="shared" si="4"/>
        <v>The Walking Dead</v>
      </c>
      <c r="E176" t="str">
        <f t="shared" si="5"/>
        <v>Temporada 1: Agallas</v>
      </c>
    </row>
    <row r="177" spans="1:5" x14ac:dyDescent="0.25">
      <c r="A177" s="1" t="s">
        <v>180</v>
      </c>
      <c r="B177" s="2">
        <v>45285</v>
      </c>
      <c r="C177" s="1" t="s">
        <v>6</v>
      </c>
      <c r="D177" t="str">
        <f t="shared" si="4"/>
        <v>The Walking Dead</v>
      </c>
      <c r="E177" t="str">
        <f t="shared" si="5"/>
        <v>Temporada 1: Los viejos tiempos</v>
      </c>
    </row>
    <row r="178" spans="1:5" x14ac:dyDescent="0.25">
      <c r="A178" s="1" t="s">
        <v>181</v>
      </c>
      <c r="B178" s="2">
        <v>45285</v>
      </c>
      <c r="C178" s="1" t="s">
        <v>4</v>
      </c>
      <c r="D178" t="str">
        <f t="shared" si="4"/>
        <v/>
      </c>
      <c r="E178" t="str">
        <f t="shared" si="5"/>
        <v/>
      </c>
    </row>
    <row r="179" spans="1:5" x14ac:dyDescent="0.25">
      <c r="A179" s="1" t="s">
        <v>182</v>
      </c>
      <c r="B179" s="2">
        <v>45277</v>
      </c>
      <c r="C179" s="1" t="s">
        <v>6</v>
      </c>
      <c r="D179" t="str">
        <f t="shared" si="4"/>
        <v>Los trabajadores del ferrocarril</v>
      </c>
      <c r="E179" t="str">
        <f t="shared" si="5"/>
        <v>La historia no contada de Bhopal 1984: Miniserie: Episodio 4</v>
      </c>
    </row>
    <row r="180" spans="1:5" x14ac:dyDescent="0.25">
      <c r="A180" s="1" t="s">
        <v>183</v>
      </c>
      <c r="B180" s="2">
        <v>45277</v>
      </c>
      <c r="C180" s="1" t="s">
        <v>6</v>
      </c>
      <c r="D180" t="str">
        <f t="shared" si="4"/>
        <v>Los trabajadores del ferrocarril</v>
      </c>
      <c r="E180" t="str">
        <f t="shared" si="5"/>
        <v>La historia no contada de Bhopal 1984: Miniserie: Episodio 3</v>
      </c>
    </row>
    <row r="181" spans="1:5" x14ac:dyDescent="0.25">
      <c r="A181" s="1" t="s">
        <v>184</v>
      </c>
      <c r="B181" s="2">
        <v>45277</v>
      </c>
      <c r="C181" s="1" t="s">
        <v>6</v>
      </c>
      <c r="D181" t="str">
        <f t="shared" si="4"/>
        <v>Legion</v>
      </c>
      <c r="E181" t="str">
        <f t="shared" si="5"/>
        <v>Legion: Season 1_hook_primary_16x9</v>
      </c>
    </row>
    <row r="182" spans="1:5" x14ac:dyDescent="0.25">
      <c r="A182" s="1" t="s">
        <v>185</v>
      </c>
      <c r="B182" s="2">
        <v>45277</v>
      </c>
      <c r="C182" s="1" t="s">
        <v>6</v>
      </c>
      <c r="D182" t="str">
        <f t="shared" si="4"/>
        <v>Los trabajadores del ferrocarril</v>
      </c>
      <c r="E182" t="str">
        <f t="shared" si="5"/>
        <v>La historia no contada de Bhopal 1984: Miniserie: Episodio 2</v>
      </c>
    </row>
    <row r="183" spans="1:5" x14ac:dyDescent="0.25">
      <c r="A183" s="1" t="s">
        <v>186</v>
      </c>
      <c r="B183" s="2">
        <v>45276</v>
      </c>
      <c r="C183" s="1" t="s">
        <v>6</v>
      </c>
      <c r="D183" t="str">
        <f t="shared" si="4"/>
        <v>Los trabajadores del ferrocarril</v>
      </c>
      <c r="E183" t="str">
        <f t="shared" si="5"/>
        <v>La historia no contada de Bhopal 1984: Miniserie: Episodio 1</v>
      </c>
    </row>
    <row r="184" spans="1:5" x14ac:dyDescent="0.25">
      <c r="A184" s="1" t="s">
        <v>187</v>
      </c>
      <c r="B184" s="2">
        <v>45276</v>
      </c>
      <c r="C184" s="1" t="s">
        <v>6</v>
      </c>
      <c r="D184" t="str">
        <f t="shared" si="4"/>
        <v>The Walking Dead</v>
      </c>
      <c r="E184" t="str">
        <f t="shared" si="5"/>
        <v>Temporada 8: Ira</v>
      </c>
    </row>
    <row r="185" spans="1:5" x14ac:dyDescent="0.25">
      <c r="A185" s="1" t="s">
        <v>188</v>
      </c>
      <c r="B185" s="2">
        <v>45276</v>
      </c>
      <c r="C185" s="1" t="s">
        <v>6</v>
      </c>
      <c r="D185" t="str">
        <f t="shared" si="4"/>
        <v>The Walking Dead</v>
      </c>
      <c r="E185" t="str">
        <f t="shared" si="5"/>
        <v>Temporada 7: Llegará el día en el que no lo estés</v>
      </c>
    </row>
    <row r="186" spans="1:5" x14ac:dyDescent="0.25">
      <c r="A186" s="1" t="s">
        <v>189</v>
      </c>
      <c r="B186" s="2">
        <v>45276</v>
      </c>
      <c r="C186" s="1" t="s">
        <v>6</v>
      </c>
      <c r="D186" t="str">
        <f t="shared" si="4"/>
        <v>The Walking Dead</v>
      </c>
      <c r="E186" t="str">
        <f t="shared" si="5"/>
        <v>Temporada 6: Último día en la Tierra</v>
      </c>
    </row>
    <row r="187" spans="1:5" x14ac:dyDescent="0.25">
      <c r="A187" s="1" t="s">
        <v>190</v>
      </c>
      <c r="B187" s="2">
        <v>45248</v>
      </c>
      <c r="C187" s="1" t="s">
        <v>6</v>
      </c>
      <c r="D187" t="str">
        <f t="shared" si="4"/>
        <v>BoJack Horseman</v>
      </c>
      <c r="E187" t="str">
        <f t="shared" si="5"/>
        <v>Temporada 3: Como pez fuera del agua</v>
      </c>
    </row>
    <row r="188" spans="1:5" x14ac:dyDescent="0.25">
      <c r="A188" s="1" t="s">
        <v>191</v>
      </c>
      <c r="B188" s="2">
        <v>45248</v>
      </c>
      <c r="C188" s="1" t="s">
        <v>4</v>
      </c>
      <c r="D188" t="str">
        <f t="shared" si="4"/>
        <v/>
      </c>
      <c r="E188" t="str">
        <f t="shared" si="5"/>
        <v/>
      </c>
    </row>
    <row r="189" spans="1:5" x14ac:dyDescent="0.25">
      <c r="A189" s="1" t="s">
        <v>192</v>
      </c>
      <c r="B189" s="2">
        <v>45235</v>
      </c>
      <c r="C189" s="1" t="s">
        <v>6</v>
      </c>
      <c r="D189" t="str">
        <f t="shared" si="4"/>
        <v>Peaky Blinders</v>
      </c>
      <c r="E189" t="str">
        <f t="shared" si="5"/>
        <v>Temporada 1: Episodio 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Rodrigo Coppa</dc:creator>
  <cp:lastModifiedBy>Rodrigo Gustavo Coppa</cp:lastModifiedBy>
  <dcterms:created xsi:type="dcterms:W3CDTF">2026-09-04T22:48:44Z</dcterms:created>
  <dcterms:modified xsi:type="dcterms:W3CDTF">2026-09-04T23:34:26Z</dcterms:modified>
</cp:coreProperties>
</file>